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RINTING" sheetId="1" state="visible" r:id="rId3"/>
    <sheet name="BINDING" sheetId="2" state="visible" r:id="rId4"/>
    <sheet name="PRINTING_ANNEXURE" sheetId="3" state="visible" r:id="rId5"/>
    <sheet name="BINDING_ANNEXURE" sheetId="4" state="visible" r:id="rId6"/>
  </sheets>
  <definedNames>
    <definedName function="false" hidden="true" localSheetId="0" name="_xlnm._FilterDatabase" vbProcedure="false">PRINTING!$A$8:$AU$48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<sst xmlns="http://schemas.openxmlformats.org/spreadsheetml/2006/main" count="272" uniqueCount="97">
  <si>
    <t xml:space="preserve">D&amp;T LEAD/INITIATOR</t>
  </si>
  <si>
    <t xml:space="preserve">TOTAL PRINT </t>
  </si>
  <si>
    <t xml:space="preserve">PROJECT NAME</t>
  </si>
  <si>
    <t xml:space="preserve">OR </t>
  </si>
  <si>
    <t xml:space="preserve">PROJCT NO</t>
  </si>
  <si>
    <t xml:space="preserve">AMOUNT</t>
  </si>
  <si>
    <t xml:space="preserve">REQUEST ID's</t>
  </si>
  <si>
    <t xml:space="preserve">po no </t>
  </si>
  <si>
    <t xml:space="preserve">START DATE </t>
  </si>
  <si>
    <t xml:space="preserve">CLOSE DATE</t>
  </si>
  <si>
    <t xml:space="preserve">Paper</t>
  </si>
  <si>
    <t xml:space="preserve">Type</t>
  </si>
  <si>
    <t xml:space="preserve">Size</t>
  </si>
  <si>
    <t xml:space="preserve">Rates</t>
  </si>
  <si>
    <t xml:space="preserve">Qty</t>
  </si>
  <si>
    <t xml:space="preserve">Amount</t>
  </si>
  <si>
    <t xml:space="preserve">Total Qty</t>
  </si>
  <si>
    <t xml:space="preserve">80 GSM</t>
  </si>
  <si>
    <t xml:space="preserve">B&amp;W</t>
  </si>
  <si>
    <t xml:space="preserve">A5/B5</t>
  </si>
  <si>
    <t xml:space="preserve">A4</t>
  </si>
  <si>
    <t xml:space="preserve">A3</t>
  </si>
  <si>
    <t xml:space="preserve">A2</t>
  </si>
  <si>
    <t xml:space="preserve">A1</t>
  </si>
  <si>
    <t xml:space="preserve">Color</t>
  </si>
  <si>
    <t xml:space="preserve">100 GSM</t>
  </si>
  <si>
    <t xml:space="preserve">100 GSM  Clr Machine</t>
  </si>
  <si>
    <t xml:space="preserve">B/W</t>
  </si>
  <si>
    <t xml:space="preserve">80 GSM  Clr Machine</t>
  </si>
  <si>
    <t xml:space="preserve">W/Y/B Cardboard</t>
  </si>
  <si>
    <t xml:space="preserve">250 gsm </t>
  </si>
  <si>
    <t xml:space="preserve">B&amp;W or 
Clr</t>
  </si>
  <si>
    <t xml:space="preserve">300 gsm </t>
  </si>
  <si>
    <t xml:space="preserve">130 GSM </t>
  </si>
  <si>
    <t xml:space="preserve">COLOUR</t>
  </si>
  <si>
    <t xml:space="preserve">PLASTIK POUCH</t>
  </si>
  <si>
    <t xml:space="preserve">NORMAL </t>
  </si>
  <si>
    <t xml:space="preserve">PLASTIK  POUCH FLAP</t>
  </si>
  <si>
    <t xml:space="preserve">VIP</t>
  </si>
  <si>
    <t xml:space="preserve">PLAIN PAPER </t>
  </si>
  <si>
    <t xml:space="preserve">PLAN PAPER</t>
  </si>
  <si>
    <t xml:space="preserve">SCANNING </t>
  </si>
  <si>
    <t xml:space="preserve">200 gsm colour card </t>
  </si>
  <si>
    <t xml:space="preserve">Y/W/B/P</t>
  </si>
  <si>
    <t xml:space="preserve">130 GSM PAPER F/B</t>
  </si>
  <si>
    <t xml:space="preserve">12X18</t>
  </si>
  <si>
    <t xml:space="preserve">170 GSM PAPER F/B</t>
  </si>
  <si>
    <t xml:space="preserve">250 GSM PAPER F/B</t>
  </si>
  <si>
    <t xml:space="preserve">350 GSM PAPER F/B</t>
  </si>
  <si>
    <t xml:space="preserve">BOX</t>
  </si>
  <si>
    <t xml:space="preserve">5 PLAY</t>
  </si>
  <si>
    <t xml:space="preserve">PAKING CHARGE</t>
  </si>
  <si>
    <t xml:space="preserve">PER BOX</t>
  </si>
  <si>
    <t xml:space="preserve">A4/A3</t>
  </si>
  <si>
    <t xml:space="preserve">CD sticker Sheet </t>
  </si>
  <si>
    <t xml:space="preserve">B&amp;W OR COU</t>
  </si>
  <si>
    <t xml:space="preserve">PLASTICK SEPRETER</t>
  </si>
  <si>
    <t xml:space="preserve">SCREEN PRINT</t>
  </si>
  <si>
    <t xml:space="preserve">STICKER </t>
  </si>
  <si>
    <t xml:space="preserve">COLOUR B/W</t>
  </si>
  <si>
    <t xml:space="preserve">ECO NT LOOPING</t>
  </si>
  <si>
    <t xml:space="preserve">PER PIC</t>
  </si>
  <si>
    <t xml:space="preserve">5X4</t>
  </si>
  <si>
    <t xml:space="preserve">HP VINYAL </t>
  </si>
  <si>
    <t xml:space="preserve">LAMINATION</t>
  </si>
  <si>
    <t xml:space="preserve">Basic Total</t>
  </si>
  <si>
    <t xml:space="preserve">D&amp;T Lead Name</t>
  </si>
  <si>
    <t xml:space="preserve">Project Code</t>
  </si>
  <si>
    <t xml:space="preserve">Service Category As per PO</t>
  </si>
  <si>
    <t xml:space="preserve">250 GSM</t>
  </si>
  <si>
    <t xml:space="preserve">300 GSM</t>
  </si>
  <si>
    <t xml:space="preserve">White Cardboard</t>
  </si>
  <si>
    <t xml:space="preserve">Yellow Cardboard</t>
  </si>
  <si>
    <t xml:space="preserve">300 GSM Glossy</t>
  </si>
  <si>
    <t xml:space="preserve">B&amp;W or Color</t>
  </si>
  <si>
    <t xml:space="preserve">350 GSM white</t>
  </si>
  <si>
    <t xml:space="preserve">Plastic Grey Separator</t>
  </si>
  <si>
    <t xml:space="preserve">Screen Print</t>
  </si>
  <si>
    <t xml:space="preserve">TOTAL </t>
  </si>
  <si>
    <t xml:space="preserve">BINDING </t>
  </si>
  <si>
    <t xml:space="preserve">PO NO -</t>
  </si>
  <si>
    <t xml:space="preserve">Pages</t>
  </si>
  <si>
    <t xml:space="preserve">Soft
Lamination</t>
  </si>
  <si>
    <t xml:space="preserve">-</t>
  </si>
  <si>
    <t xml:space="preserve">Spiral
Bind</t>
  </si>
  <si>
    <t xml:space="preserve">A5</t>
  </si>
  <si>
    <t xml:space="preserve">center pin</t>
  </si>
  <si>
    <t xml:space="preserve">wiro bianding</t>
  </si>
  <si>
    <t xml:space="preserve">Hard Rexin
with HAND</t>
  </si>
  <si>
    <t xml:space="preserve">digital embossing</t>
  </si>
  <si>
    <t xml:space="preserve">screw bianding</t>
  </si>
  <si>
    <t xml:space="preserve">english bianding</t>
  </si>
  <si>
    <t xml:space="preserve">box file</t>
  </si>
  <si>
    <t xml:space="preserve">1 inc</t>
  </si>
  <si>
    <t xml:space="preserve">hard bianding</t>
  </si>
  <si>
    <t xml:space="preserve">RE BIANDING </t>
  </si>
  <si>
    <t xml:space="preserve">EXTRA OHP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</si>
</sst>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* #,##0.00_);_(* \(#,##0.00\);_(* \-??_);_(@_)"/>
    <numFmt numFmtId="166" formatCode="0.00%"/>
    <numFmt numFmtId="167" formatCode="d\-mmm\-yy"/>
    <numFmt numFmtId="168" formatCode="m/d/yyyy"/>
    <numFmt numFmtId="169" formatCode="_(* #,##0.000_);_(* \(#,##0.000\);_(* \-??_);_(@_)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0"/>
      <name val="Arial"/>
      <family val="2"/>
      <charset val="1"/>
    </font>
    <font>
      <sz val="16"/>
      <color theme="1"/>
      <name val="Calibri"/>
      <family val="2"/>
      <charset val="1"/>
    </font>
    <font>
      <b val="true"/>
      <sz val="16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20"/>
      <color theme="0"/>
      <name val="Arial"/>
      <family val="2"/>
      <charset val="1"/>
    </font>
    <font>
      <sz val="11"/>
      <color theme="0"/>
      <name val="Calibri"/>
      <family val="2"/>
      <charset val="1"/>
    </font>
    <font>
      <b val="true"/>
      <sz val="11"/>
      <name val="Calibri"/>
      <family val="2"/>
      <charset val="1"/>
    </font>
    <font>
      <sz val="9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9"/>
      <color theme="1"/>
      <name val="Calibri"/>
      <family val="2"/>
      <charset val="1"/>
    </font>
    <font>
      <b val="true"/>
      <sz val="10"/>
      <color theme="1"/>
      <name val="Arial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5"/>
        <bgColor rgb="FF993366"/>
      </patternFill>
    </fill>
    <fill>
      <patternFill patternType="solid">
        <fgColor theme="6"/>
        <bgColor rgb="FF92D050"/>
      </patternFill>
    </fill>
    <fill>
      <patternFill patternType="solid">
        <fgColor theme="7"/>
        <bgColor rgb="FF808080"/>
      </patternFill>
    </fill>
    <fill>
      <patternFill patternType="solid">
        <fgColor theme="8"/>
        <bgColor rgb="FF339966"/>
      </patternFill>
    </fill>
    <fill>
      <patternFill patternType="solid">
        <fgColor theme="3" tint="0.7999"/>
        <bgColor rgb="FFB9CDE5"/>
      </patternFill>
    </fill>
    <fill>
      <patternFill patternType="solid">
        <fgColor rgb="FF0070C0"/>
        <bgColor rgb="FF008080"/>
      </patternFill>
    </fill>
    <fill>
      <patternFill patternType="solid">
        <fgColor theme="4" tint="0.5999"/>
        <bgColor rgb="FFC6D9F1"/>
      </patternFill>
    </fill>
    <fill>
      <patternFill patternType="solid">
        <fgColor theme="9" tint="0.7999"/>
        <bgColor rgb="FFEBF1DE"/>
      </patternFill>
    </fill>
    <fill>
      <patternFill patternType="solid">
        <fgColor theme="1"/>
        <bgColor rgb="FF003300"/>
      </patternFill>
    </fill>
    <fill>
      <patternFill patternType="solid">
        <fgColor rgb="FF92D050"/>
        <bgColor rgb="FF9BBB59"/>
      </patternFill>
    </fill>
    <fill>
      <patternFill patternType="solid">
        <fgColor theme="0" tint="-0.15"/>
        <bgColor rgb="FFE6E0EC"/>
      </patternFill>
    </fill>
    <fill>
      <patternFill patternType="solid">
        <fgColor theme="6" tint="0.7999"/>
        <bgColor rgb="FFF2F2F2"/>
      </patternFill>
    </fill>
    <fill>
      <patternFill patternType="solid">
        <fgColor theme="4" tint="0.7999"/>
        <bgColor rgb="FFE6E0EC"/>
      </patternFill>
    </fill>
    <fill>
      <patternFill patternType="solid">
        <fgColor theme="0" tint="-0.25"/>
        <bgColor rgb="FFB9CDE5"/>
      </patternFill>
    </fill>
    <fill>
      <patternFill patternType="solid">
        <fgColor theme="7" tint="0.7999"/>
        <bgColor rgb="FFDCE6F2"/>
      </patternFill>
    </fill>
    <fill>
      <patternFill patternType="solid">
        <fgColor theme="0" tint="-0.05"/>
        <bgColor rgb="FFEBF1DE"/>
      </patternFill>
    </fill>
    <fill>
      <patternFill patternType="solid">
        <fgColor theme="5" tint="0.7999"/>
        <bgColor rgb="FFE6E0EC"/>
      </patternFill>
    </fill>
    <fill>
      <patternFill patternType="solid">
        <fgColor theme="5" tint="0.5999"/>
        <bgColor rgb="FFBFBFB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2" borderId="0" applyFont="true" applyBorder="false" applyAlignment="true" applyProtection="false">
      <alignment horizontal="general" vertical="bottom" textRotation="0" wrapText="false" indent="0" shrinkToFit="false"/>
    </xf>
    <xf numFmtId="164" fontId="10" fillId="3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0" fillId="5" borderId="0" applyFont="true" applyBorder="false" applyAlignment="true" applyProtection="false">
      <alignment horizontal="general" vertical="bottom" textRotation="0" wrapText="false" indent="0" shrinkToFit="false"/>
    </xf>
  </cellStyleXfs>
  <cellXfs count="1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1" xfId="0" applyFont="false" applyBorder="true" applyAlignment="true" applyProtection="true">
      <alignment horizontal="left" vertical="center" textRotation="0" wrapText="true" indent="0" shrinkToFit="false"/>
      <protection locked="false" hidden="false"/>
    </xf>
    <xf numFmtId="164" fontId="0" fillId="0" borderId="1" xfId="0" applyFont="fals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0" fillId="0" borderId="1" xfId="15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0" fillId="0" borderId="2" xfId="0" applyFont="fals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0" fillId="6" borderId="1" xfId="15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0" fillId="0" borderId="1" xfId="15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false" hidden="false"/>
    </xf>
    <xf numFmtId="164" fontId="4" fillId="7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7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7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4" fillId="7" borderId="0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7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7" fillId="8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8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8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8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8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7" fillId="9" borderId="4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9" borderId="1" xfId="15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8" fillId="1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11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1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7" fillId="1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1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7" fillId="1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7" fillId="1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7" fillId="1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7" fillId="8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9" borderId="6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9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7" fillId="9" borderId="6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14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7" fillId="1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9" borderId="6" xfId="15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8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8" borderId="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8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7" fillId="8" borderId="4" xfId="15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7" fillId="9" borderId="6" xfId="15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9" borderId="1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0" fillId="0" borderId="1" xfId="15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2" xfId="0" applyFont="fals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7" fillId="0" borderId="1" xfId="15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7" fillId="0" borderId="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4" fontId="0" fillId="0" borderId="1" xfId="0" applyFont="false" applyBorder="true" applyAlignment="true" applyProtection="true">
      <alignment horizontal="left" vertical="center" textRotation="0" wrapText="false" indent="0" shrinkToFit="false"/>
      <protection locked="fals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1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9" fillId="7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7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9" fillId="7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9" fillId="7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5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1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2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9" borderId="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9" borderId="4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9" borderId="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1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1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1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9" borderId="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9" borderId="6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7" fillId="9" borderId="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9" borderId="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8" borderId="4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8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9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19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8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0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0" fillId="0" borderId="1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0" borderId="1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1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8" fontId="7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1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12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12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3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12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4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2" borderId="2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7" fillId="12" borderId="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7" fillId="12" borderId="7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7" fillId="12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12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12" borderId="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1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7" fillId="12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5" fillId="12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5" fillId="1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0" fillId="12" borderId="1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12" borderId="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5" fillId="12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12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12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12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0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12" borderId="1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5" fillId="1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1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2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1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1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0" fillId="12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0" fillId="12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1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Accent2" xfId="20"/>
    <cellStyle name="Excel Built-in Accent3" xfId="21"/>
    <cellStyle name="Excel Built-in Accent4" xfId="22"/>
    <cellStyle name="Excel Built-in Accent5" xfId="23"/>
  </cellStyles>
  <dxfs count="30">
    <dxf>
      <fill>
        <patternFill patternType="solid">
          <fgColor rgb="FF0070C0"/>
          <bgColor rgb="FF000000"/>
        </patternFill>
      </fill>
    </dxf>
    <dxf>
      <fill>
        <patternFill patternType="solid">
          <fgColor rgb="FFB9CDE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CE6F2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EBF1DE"/>
          <bgColor rgb="FF000000"/>
        </patternFill>
      </fill>
    </dxf>
    <dxf>
      <fill>
        <patternFill patternType="solid">
          <fgColor rgb="FFC6D9F1"/>
          <bgColor rgb="FF000000"/>
        </patternFill>
      </fill>
    </dxf>
    <dxf>
      <fill>
        <patternFill patternType="solid">
          <fgColor rgb="FFFDEADA"/>
          <bgColor rgb="FF000000"/>
        </patternFill>
      </fill>
    </dxf>
    <dxf>
      <fill>
        <patternFill>
          <bgColor theme="5" tint="0.3999"/>
        </patternFill>
      </fill>
    </dxf>
    <dxf>
      <fill>
        <patternFill>
          <bgColor theme="6" tint="0.3999"/>
        </patternFill>
      </fill>
    </dxf>
    <dxf>
      <fill>
        <patternFill>
          <bgColor theme="5" tint="0.3999"/>
        </patternFill>
      </fill>
    </dxf>
    <dxf>
      <fill>
        <patternFill>
          <bgColor theme="6" tint="0.3999"/>
        </patternFill>
      </fill>
    </dxf>
    <dxf>
      <fill>
        <patternFill>
          <bgColor theme="5" tint="0.3999"/>
        </patternFill>
      </fill>
    </dxf>
    <dxf>
      <fill>
        <patternFill>
          <bgColor theme="6" tint="0.3999"/>
        </patternFill>
      </fill>
    </dxf>
    <dxf>
      <fill>
        <patternFill>
          <bgColor theme="5" tint="0.3999"/>
        </patternFill>
      </fill>
    </dxf>
    <dxf>
      <fill>
        <patternFill>
          <bgColor theme="6" tint="0.3999"/>
        </patternFill>
      </fill>
    </dxf>
    <dxf>
      <fill>
        <patternFill>
          <bgColor theme="5" tint="0.3999"/>
        </patternFill>
      </fill>
    </dxf>
    <dxf>
      <fill>
        <patternFill>
          <bgColor theme="6" tint="0.3999"/>
        </patternFill>
      </fill>
    </dxf>
    <dxf>
      <fill>
        <patternFill>
          <bgColor theme="5" tint="0.3999"/>
        </patternFill>
      </fill>
    </dxf>
    <dxf>
      <fill>
        <patternFill>
          <bgColor theme="6" tint="0.3999"/>
        </patternFill>
      </fill>
    </dxf>
    <dxf>
      <fill>
        <patternFill>
          <bgColor theme="5" tint="0.3999"/>
        </patternFill>
      </fill>
    </dxf>
    <dxf>
      <fill>
        <patternFill>
          <bgColor theme="6" tint="0.3999"/>
        </patternFill>
      </fill>
    </dxf>
    <dxf>
      <fill>
        <patternFill>
          <bgColor theme="5" tint="0.3999"/>
        </patternFill>
      </fill>
    </dxf>
    <dxf>
      <fill>
        <patternFill>
          <bgColor theme="6" tint="0.3999"/>
        </patternFill>
      </fill>
    </dxf>
    <dxf>
      <fill>
        <patternFill>
          <bgColor theme="5" tint="0.3999"/>
        </patternFill>
      </fill>
    </dxf>
    <dxf>
      <fill>
        <patternFill>
          <bgColor theme="6" tint="0.3999"/>
        </patternFill>
      </fill>
    </dxf>
    <dxf>
      <fill>
        <patternFill>
          <bgColor theme="5" tint="0.3999"/>
        </patternFill>
      </fill>
    </dxf>
    <dxf>
      <fill>
        <patternFill>
          <bgColor theme="6" tint="0.3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EBF1DE"/>
      <rgbColor rgb="FFDCE6F2"/>
      <rgbColor rgb="FF660066"/>
      <rgbColor rgb="FFD99694"/>
      <rgbColor rgb="FF0070C0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6E0EC"/>
      <rgbColor rgb="FFFDEADA"/>
      <rgbColor rgb="FFB9CDE5"/>
      <rgbColor rgb="FFF2DCDB"/>
      <rgbColor rgb="FFD9D9D9"/>
      <rgbColor rgb="FFE6B9B8"/>
      <rgbColor rgb="FF3366FF"/>
      <rgbColor rgb="FF4BACC6"/>
      <rgbColor rgb="FF92D050"/>
      <rgbColor rgb="FFC3D69B"/>
      <rgbColor rgb="FFFF9900"/>
      <rgbColor rgb="FFFF6600"/>
      <rgbColor rgb="FF8064A2"/>
      <rgbColor rgb="FF9BBB5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8" topLeftCell="H24" activePane="bottomRight" state="frozen"/>
      <selection pane="topLeft" activeCell="A1" activeCellId="0" sqref="A1"/>
      <selection pane="topRight" activeCell="H1" activeCellId="0" sqref="H1"/>
      <selection pane="bottomLeft" activeCell="A24" activeCellId="0" sqref="A24"/>
      <selection pane="bottomRight" activeCell="F43" activeCellId="0" sqref="F43"/>
    </sheetView>
  </sheetViews>
  <sheetFormatPr defaultColWidth="17.2890625" defaultRowHeight="15" customHeight="false" zeroHeight="false" outlineLevelRow="0" outlineLevelCol="0"/>
  <cols>
    <col collapsed="false" customWidth="true" hidden="false" outlineLevel="0" max="1" min="1" style="1" width="10.29"/>
    <col collapsed="false" customWidth="true" hidden="false" outlineLevel="0" max="2" min="2" style="1" width="6.29"/>
    <col collapsed="false" customWidth="true" hidden="false" outlineLevel="0" max="3" min="3" style="2" width="10.29"/>
    <col collapsed="false" customWidth="true" hidden="false" outlineLevel="0" max="4" min="4" style="1" width="13.15"/>
    <col collapsed="false" customWidth="true" hidden="false" outlineLevel="0" max="7" min="5" style="1" width="10.29"/>
    <col collapsed="false" customWidth="true" hidden="false" outlineLevel="0" max="8" min="8" style="1" width="8.15"/>
    <col collapsed="false" customWidth="true" hidden="false" outlineLevel="0" max="9" min="9" style="3" width="10.14"/>
    <col collapsed="false" customWidth="true" hidden="false" outlineLevel="0" max="11" min="10" style="4" width="11.57"/>
    <col collapsed="false" customWidth="true" hidden="false" outlineLevel="0" max="35" min="12" style="3" width="10.71"/>
    <col collapsed="false" customWidth="true" hidden="false" outlineLevel="0" max="36" min="36" style="3" width="12"/>
    <col collapsed="false" customWidth="true" hidden="false" outlineLevel="0" max="40" min="37" style="3" width="6"/>
    <col collapsed="false" customWidth="true" hidden="false" outlineLevel="0" max="41" min="41" style="3" width="11.29"/>
    <col collapsed="false" customWidth="true" hidden="false" outlineLevel="0" max="42" min="42" style="5" width="14.57"/>
    <col collapsed="false" customWidth="true" hidden="false" outlineLevel="0" max="43" min="43" style="6" width="13"/>
    <col collapsed="false" customWidth="true" hidden="false" outlineLevel="0" max="44" min="44" style="7" width="11.85"/>
    <col collapsed="false" customWidth="true" hidden="false" outlineLevel="0" max="46" min="45" style="3" width="14.71"/>
    <col collapsed="false" customWidth="true" hidden="false" outlineLevel="0" max="47" min="47" style="3" width="16.29"/>
    <col collapsed="false" customWidth="false" hidden="false" outlineLevel="0" max="48" min="48" style="8" width="17.29"/>
    <col collapsed="false" customWidth="true" hidden="false" outlineLevel="0" max="49" min="49" style="8" width="5.71"/>
    <col collapsed="false" customWidth="true" hidden="false" outlineLevel="0" max="50" min="50" style="8" width="11.43"/>
    <col collapsed="false" customWidth="false" hidden="false" outlineLevel="0" max="16384" min="51" style="8" width="17.29"/>
  </cols>
  <sheetData>
    <row r="1" s="18" customFormat="true" ht="11.25" hidden="false" customHeight="true" outlineLevel="0" collapsed="false">
      <c r="A1" s="9"/>
      <c r="B1" s="9"/>
      <c r="C1" s="10"/>
      <c r="D1" s="10"/>
      <c r="E1" s="10"/>
      <c r="F1" s="10"/>
      <c r="G1" s="10"/>
      <c r="H1" s="11"/>
      <c r="I1" s="11"/>
      <c r="J1" s="12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3"/>
      <c r="AR1" s="14"/>
      <c r="AS1" s="13"/>
      <c r="AT1" s="13"/>
      <c r="AU1" s="13"/>
      <c r="AV1" s="15"/>
      <c r="AW1" s="16"/>
      <c r="AX1" s="17"/>
    </row>
    <row r="2" s="29" customFormat="true" ht="27" hidden="false" customHeight="true" outlineLevel="0" collapsed="false">
      <c r="A2" s="19"/>
      <c r="B2" s="19"/>
      <c r="C2" s="20"/>
      <c r="D2" s="20"/>
      <c r="E2" s="20"/>
      <c r="F2" s="19"/>
      <c r="G2" s="19"/>
      <c r="H2" s="19"/>
      <c r="I2" s="19"/>
      <c r="J2" s="19"/>
      <c r="K2" s="19"/>
      <c r="L2" s="21"/>
      <c r="M2" s="21"/>
      <c r="N2" s="21"/>
      <c r="O2" s="21"/>
      <c r="P2" s="21"/>
      <c r="Q2" s="21"/>
      <c r="R2" s="21"/>
      <c r="S2" s="21"/>
      <c r="T2" s="21"/>
      <c r="U2" s="21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2"/>
      <c r="AG2" s="22"/>
      <c r="AH2" s="22"/>
      <c r="AI2" s="22"/>
      <c r="AJ2" s="23"/>
      <c r="AK2" s="23"/>
      <c r="AL2" s="23"/>
      <c r="AM2" s="23"/>
      <c r="AN2" s="23"/>
      <c r="AO2" s="23"/>
      <c r="AP2" s="23"/>
      <c r="AQ2" s="24"/>
      <c r="AR2" s="25"/>
      <c r="AS2" s="26"/>
      <c r="AT2" s="26"/>
      <c r="AU2" s="26"/>
      <c r="AV2" s="27"/>
      <c r="AW2" s="27"/>
      <c r="AX2" s="28"/>
    </row>
    <row r="3" s="34" customFormat="true" ht="12" hidden="false" customHeight="true" outlineLevel="0" collapsed="false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30"/>
      <c r="M3" s="30"/>
      <c r="N3" s="30"/>
      <c r="O3" s="30"/>
      <c r="P3" s="30"/>
      <c r="Q3" s="31"/>
      <c r="R3" s="31"/>
      <c r="S3" s="31"/>
      <c r="T3" s="31"/>
      <c r="U3" s="31"/>
      <c r="V3" s="32"/>
      <c r="W3" s="32"/>
      <c r="X3" s="32"/>
      <c r="Y3" s="32"/>
      <c r="Z3" s="32"/>
      <c r="AA3" s="31"/>
      <c r="AB3" s="31"/>
      <c r="AC3" s="31"/>
      <c r="AD3" s="31"/>
      <c r="AE3" s="31"/>
      <c r="AF3" s="22"/>
      <c r="AG3" s="22"/>
      <c r="AH3" s="22"/>
      <c r="AI3" s="22"/>
      <c r="AJ3" s="23"/>
      <c r="AK3" s="23"/>
      <c r="AL3" s="23"/>
      <c r="AM3" s="23"/>
      <c r="AN3" s="23"/>
      <c r="AO3" s="23"/>
      <c r="AP3" s="23"/>
      <c r="AQ3" s="24"/>
      <c r="AR3" s="25"/>
      <c r="AS3" s="26"/>
      <c r="AT3" s="26"/>
      <c r="AU3" s="26"/>
      <c r="AV3" s="33"/>
      <c r="AW3" s="33"/>
      <c r="AX3" s="33"/>
    </row>
    <row r="4" s="34" customFormat="true" ht="12.75" hidden="false" customHeight="true" outlineLevel="0" collapsed="false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35"/>
      <c r="M4" s="35"/>
      <c r="N4" s="35"/>
      <c r="O4" s="35"/>
      <c r="P4" s="35"/>
      <c r="Q4" s="36"/>
      <c r="R4" s="36"/>
      <c r="S4" s="36"/>
      <c r="T4" s="36"/>
      <c r="U4" s="36"/>
      <c r="V4" s="35"/>
      <c r="W4" s="35"/>
      <c r="X4" s="35"/>
      <c r="Y4" s="35"/>
      <c r="Z4" s="35"/>
      <c r="AA4" s="36"/>
      <c r="AB4" s="36"/>
      <c r="AC4" s="36"/>
      <c r="AD4" s="36"/>
      <c r="AE4" s="36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2"/>
      <c r="AQ4" s="24"/>
      <c r="AR4" s="25"/>
      <c r="AS4" s="26"/>
      <c r="AT4" s="26"/>
      <c r="AU4" s="26"/>
      <c r="AV4" s="33"/>
      <c r="AW4" s="33"/>
      <c r="AX4" s="33"/>
    </row>
    <row r="5" s="34" customFormat="true" ht="12.75" hidden="false" customHeight="true" outlineLevel="0" collapsed="false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37"/>
      <c r="M5" s="37"/>
      <c r="N5" s="37"/>
      <c r="O5" s="37"/>
      <c r="P5" s="37"/>
      <c r="Q5" s="38"/>
      <c r="R5" s="38"/>
      <c r="S5" s="38"/>
      <c r="T5" s="38"/>
      <c r="U5" s="38"/>
      <c r="V5" s="39"/>
      <c r="W5" s="39"/>
      <c r="X5" s="39"/>
      <c r="Y5" s="39"/>
      <c r="Z5" s="39"/>
      <c r="AA5" s="38"/>
      <c r="AB5" s="38"/>
      <c r="AC5" s="38"/>
      <c r="AD5" s="38"/>
      <c r="AE5" s="38"/>
      <c r="AF5" s="40"/>
      <c r="AG5" s="40"/>
      <c r="AH5" s="40"/>
      <c r="AI5" s="40"/>
      <c r="AJ5" s="40"/>
      <c r="AK5" s="20"/>
      <c r="AL5" s="20"/>
      <c r="AM5" s="20"/>
      <c r="AN5" s="20"/>
      <c r="AO5" s="20"/>
      <c r="AP5" s="23"/>
      <c r="AQ5" s="41"/>
      <c r="AR5" s="25"/>
      <c r="AS5" s="42"/>
      <c r="AT5" s="42"/>
      <c r="AU5" s="42"/>
      <c r="AV5" s="33"/>
      <c r="AW5" s="33"/>
      <c r="AX5" s="33"/>
    </row>
    <row r="6" s="34" customFormat="true" ht="15" hidden="false" customHeight="false" outlineLevel="0" collapsed="false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39"/>
      <c r="M6" s="39"/>
      <c r="N6" s="39"/>
      <c r="O6" s="39"/>
      <c r="P6" s="39"/>
      <c r="Q6" s="38"/>
      <c r="R6" s="38"/>
      <c r="S6" s="38"/>
      <c r="T6" s="38"/>
      <c r="U6" s="38"/>
      <c r="V6" s="39"/>
      <c r="W6" s="39"/>
      <c r="X6" s="39"/>
      <c r="Y6" s="39"/>
      <c r="Z6" s="39"/>
      <c r="AA6" s="38"/>
      <c r="AB6" s="38"/>
      <c r="AC6" s="38"/>
      <c r="AD6" s="38"/>
      <c r="AE6" s="38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3"/>
      <c r="AR6" s="25"/>
      <c r="AS6" s="42"/>
      <c r="AT6" s="42"/>
      <c r="AU6" s="42"/>
      <c r="AV6" s="33"/>
      <c r="AW6" s="33"/>
      <c r="AX6" s="33"/>
    </row>
    <row r="7" s="34" customFormat="true" ht="14.25" hidden="false" customHeight="true" outlineLevel="0" collapsed="false">
      <c r="A7" s="19"/>
      <c r="B7" s="19"/>
      <c r="C7" s="19"/>
      <c r="D7" s="19"/>
      <c r="E7" s="19"/>
      <c r="F7" s="19"/>
      <c r="G7" s="19"/>
      <c r="H7" s="44"/>
      <c r="I7" s="44"/>
      <c r="J7" s="45"/>
      <c r="K7" s="45"/>
      <c r="L7" s="35"/>
      <c r="M7" s="35"/>
      <c r="N7" s="35"/>
      <c r="O7" s="35"/>
      <c r="P7" s="35"/>
      <c r="Q7" s="36"/>
      <c r="R7" s="36"/>
      <c r="S7" s="36"/>
      <c r="T7" s="36"/>
      <c r="U7" s="36"/>
      <c r="V7" s="35"/>
      <c r="W7" s="35"/>
      <c r="X7" s="35"/>
      <c r="Y7" s="35"/>
      <c r="Z7" s="35"/>
      <c r="AA7" s="36"/>
      <c r="AB7" s="36"/>
      <c r="AC7" s="36"/>
      <c r="AD7" s="36"/>
      <c r="AE7" s="36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46"/>
      <c r="AR7" s="25"/>
      <c r="AS7" s="42"/>
      <c r="AT7" s="42"/>
      <c r="AU7" s="42"/>
      <c r="AV7" s="33"/>
      <c r="AW7" s="33"/>
      <c r="AX7" s="33"/>
    </row>
    <row r="8" s="34" customFormat="true" ht="15" hidden="false" customHeight="false" outlineLevel="0" collapsed="false">
      <c r="A8" s="47"/>
      <c r="B8" s="47"/>
      <c r="C8" s="48"/>
      <c r="D8" s="47"/>
      <c r="E8" s="47"/>
      <c r="F8" s="47"/>
      <c r="G8" s="47"/>
      <c r="H8" s="49"/>
      <c r="I8" s="49"/>
      <c r="J8" s="50"/>
      <c r="K8" s="50"/>
      <c r="L8" s="35"/>
      <c r="M8" s="35"/>
      <c r="N8" s="35"/>
      <c r="O8" s="35"/>
      <c r="P8" s="35"/>
      <c r="Q8" s="36"/>
      <c r="R8" s="36"/>
      <c r="S8" s="36"/>
      <c r="T8" s="36"/>
      <c r="U8" s="36"/>
      <c r="V8" s="35"/>
      <c r="W8" s="35"/>
      <c r="X8" s="35"/>
      <c r="Y8" s="35"/>
      <c r="Z8" s="35"/>
      <c r="AA8" s="36"/>
      <c r="AB8" s="36"/>
      <c r="AC8" s="36"/>
      <c r="AD8" s="36"/>
      <c r="AE8" s="36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3"/>
      <c r="AQ8" s="41"/>
      <c r="AR8" s="51"/>
      <c r="AS8" s="52"/>
      <c r="AT8" s="52"/>
      <c r="AU8" s="52"/>
      <c r="AV8" s="33"/>
      <c r="AW8" s="33"/>
      <c r="AX8" s="33"/>
    </row>
    <row r="9" s="55" customFormat="true" ht="15" hidden="false" customHeight="false" outlineLevel="0" collapsed="false">
      <c r="A9" s="1"/>
      <c r="B9" s="1"/>
      <c r="C9" s="2"/>
      <c r="D9" s="1"/>
      <c r="E9" s="1"/>
      <c r="F9" s="1"/>
      <c r="G9" s="53"/>
      <c r="H9" s="4"/>
      <c r="I9" s="53"/>
      <c r="J9" s="7"/>
      <c r="K9" s="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54"/>
      <c r="AQ9" s="6"/>
      <c r="AR9" s="7"/>
      <c r="AS9" s="3"/>
      <c r="AT9" s="3"/>
      <c r="AU9" s="3"/>
    </row>
    <row r="10" s="55" customFormat="true" ht="15" hidden="false" customHeight="false" outlineLevel="0" collapsed="false">
      <c r="A10" s="1"/>
      <c r="B10" s="1"/>
      <c r="C10" s="2"/>
      <c r="D10" s="1"/>
      <c r="E10" s="1"/>
      <c r="F10" s="1"/>
      <c r="G10" s="1"/>
      <c r="H10" s="1"/>
      <c r="I10" s="56"/>
      <c r="J10" s="7"/>
      <c r="K10" s="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54"/>
      <c r="AQ10" s="6"/>
      <c r="AR10" s="7"/>
      <c r="AS10" s="3"/>
      <c r="AT10" s="3"/>
      <c r="AU10" s="3"/>
    </row>
    <row r="11" s="55" customFormat="true" ht="15" hidden="false" customHeight="false" outlineLevel="0" collapsed="false">
      <c r="A11" s="1"/>
      <c r="B11" s="1"/>
      <c r="C11" s="2"/>
      <c r="D11" s="1"/>
      <c r="E11" s="1"/>
      <c r="F11" s="1"/>
      <c r="G11" s="1"/>
      <c r="H11" s="1"/>
      <c r="I11" s="56"/>
      <c r="J11" s="7"/>
      <c r="K11" s="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54"/>
      <c r="AQ11" s="6"/>
      <c r="AR11" s="7"/>
      <c r="AS11" s="3"/>
      <c r="AT11" s="3"/>
      <c r="AU11" s="3"/>
    </row>
    <row r="12" s="55" customFormat="true" ht="15" hidden="false" customHeight="false" outlineLevel="0" collapsed="false">
      <c r="A12" s="1"/>
      <c r="B12" s="1"/>
      <c r="C12" s="2"/>
      <c r="D12" s="1"/>
      <c r="E12" s="1"/>
      <c r="F12" s="1"/>
      <c r="G12" s="1"/>
      <c r="H12" s="1"/>
      <c r="I12" s="56"/>
      <c r="J12" s="7"/>
      <c r="K12" s="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54"/>
      <c r="AQ12" s="6"/>
      <c r="AR12" s="7"/>
      <c r="AS12" s="3"/>
      <c r="AT12" s="3"/>
      <c r="AU12" s="3"/>
    </row>
    <row r="13" s="55" customFormat="true" ht="15" hidden="false" customHeight="false" outlineLevel="0" collapsed="false">
      <c r="A13" s="1"/>
      <c r="B13" s="1"/>
      <c r="C13" s="2"/>
      <c r="D13" s="1"/>
      <c r="E13" s="1"/>
      <c r="F13" s="1"/>
      <c r="G13" s="1"/>
      <c r="H13" s="1"/>
      <c r="I13" s="56"/>
      <c r="J13" s="7"/>
      <c r="K13" s="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54"/>
      <c r="AQ13" s="6"/>
      <c r="AR13" s="7"/>
      <c r="AS13" s="3"/>
      <c r="AT13" s="3"/>
      <c r="AU13" s="3"/>
    </row>
    <row r="14" s="55" customFormat="true" ht="15" hidden="false" customHeight="false" outlineLevel="0" collapsed="false">
      <c r="A14" s="1"/>
      <c r="B14" s="1"/>
      <c r="C14" s="2"/>
      <c r="D14" s="1"/>
      <c r="E14" s="1"/>
      <c r="F14" s="1"/>
      <c r="G14" s="1"/>
      <c r="H14" s="1"/>
      <c r="I14" s="56"/>
      <c r="J14" s="7"/>
      <c r="K14" s="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54"/>
      <c r="AQ14" s="6"/>
      <c r="AR14" s="7"/>
      <c r="AS14" s="3"/>
      <c r="AT14" s="3"/>
      <c r="AU14" s="3"/>
    </row>
    <row r="15" s="55" customFormat="true" ht="15" hidden="false" customHeight="false" outlineLevel="0" collapsed="false">
      <c r="A15" s="1"/>
      <c r="B15" s="1"/>
      <c r="C15" s="2"/>
      <c r="D15" s="1"/>
      <c r="E15" s="1"/>
      <c r="F15" s="1"/>
      <c r="G15" s="1"/>
      <c r="H15" s="1"/>
      <c r="I15" s="56"/>
      <c r="J15" s="7"/>
      <c r="K15" s="4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54"/>
      <c r="AQ15" s="6"/>
      <c r="AR15" s="7"/>
      <c r="AS15" s="3"/>
      <c r="AT15" s="3"/>
      <c r="AU15" s="3"/>
    </row>
    <row r="16" s="55" customFormat="true" ht="15" hidden="false" customHeight="false" outlineLevel="0" collapsed="false">
      <c r="A16" s="1"/>
      <c r="B16" s="1"/>
      <c r="C16" s="2"/>
      <c r="D16" s="1"/>
      <c r="E16" s="1"/>
      <c r="F16" s="1"/>
      <c r="G16" s="1"/>
      <c r="H16" s="1"/>
      <c r="I16" s="56"/>
      <c r="J16" s="7"/>
      <c r="K16" s="4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54"/>
      <c r="AQ16" s="6"/>
      <c r="AR16" s="7"/>
      <c r="AS16" s="3"/>
      <c r="AT16" s="3"/>
      <c r="AU16" s="3"/>
    </row>
    <row r="17" s="55" customFormat="true" ht="15" hidden="false" customHeight="false" outlineLevel="0" collapsed="false">
      <c r="A17" s="1"/>
      <c r="B17" s="1"/>
      <c r="C17" s="2"/>
      <c r="D17" s="1"/>
      <c r="E17" s="1"/>
      <c r="F17" s="1"/>
      <c r="G17" s="1"/>
      <c r="H17" s="1"/>
      <c r="I17" s="56"/>
      <c r="J17" s="7"/>
      <c r="K17" s="4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54"/>
      <c r="AQ17" s="6"/>
      <c r="AR17" s="7"/>
      <c r="AS17" s="3"/>
      <c r="AT17" s="3"/>
      <c r="AU17" s="3"/>
    </row>
    <row r="18" s="55" customFormat="true" ht="15" hidden="false" customHeight="false" outlineLevel="0" collapsed="false">
      <c r="A18" s="1"/>
      <c r="B18" s="1"/>
      <c r="C18" s="2"/>
      <c r="D18" s="1"/>
      <c r="E18" s="1"/>
      <c r="F18" s="1"/>
      <c r="G18" s="1"/>
      <c r="H18" s="1"/>
      <c r="I18" s="56"/>
      <c r="J18" s="7"/>
      <c r="K18" s="4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54"/>
      <c r="AQ18" s="6"/>
      <c r="AR18" s="7"/>
      <c r="AS18" s="3"/>
      <c r="AT18" s="3"/>
      <c r="AU18" s="3"/>
    </row>
    <row r="19" s="55" customFormat="true" ht="15" hidden="false" customHeight="false" outlineLevel="0" collapsed="false">
      <c r="A19" s="1"/>
      <c r="B19" s="1"/>
      <c r="C19" s="2"/>
      <c r="D19" s="1"/>
      <c r="E19" s="1"/>
      <c r="F19" s="1"/>
      <c r="G19" s="1"/>
      <c r="H19" s="1"/>
      <c r="I19" s="56"/>
      <c r="J19" s="7"/>
      <c r="K19" s="4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54"/>
      <c r="AQ19" s="6"/>
      <c r="AR19" s="7"/>
      <c r="AS19" s="3"/>
      <c r="AT19" s="3"/>
      <c r="AU19" s="3"/>
    </row>
    <row r="20" s="55" customFormat="true" ht="15" hidden="false" customHeight="false" outlineLevel="0" collapsed="false">
      <c r="A20" s="1"/>
      <c r="B20" s="1"/>
      <c r="C20" s="2"/>
      <c r="D20" s="1"/>
      <c r="E20" s="1"/>
      <c r="F20" s="1"/>
      <c r="G20" s="1"/>
      <c r="H20" s="1"/>
      <c r="I20" s="56"/>
      <c r="J20" s="7"/>
      <c r="K20" s="4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54"/>
      <c r="AQ20" s="6"/>
      <c r="AR20" s="7"/>
      <c r="AS20" s="3"/>
      <c r="AT20" s="3"/>
      <c r="AU20" s="3"/>
    </row>
    <row r="21" s="55" customFormat="true" ht="15" hidden="false" customHeight="false" outlineLevel="0" collapsed="false">
      <c r="A21" s="1"/>
      <c r="B21" s="1"/>
      <c r="C21" s="2"/>
      <c r="D21" s="1"/>
      <c r="E21" s="1"/>
      <c r="F21" s="1"/>
      <c r="G21" s="1"/>
      <c r="H21" s="1"/>
      <c r="I21" s="56"/>
      <c r="J21" s="7"/>
      <c r="K21" s="4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54"/>
      <c r="AQ21" s="6"/>
      <c r="AR21" s="7"/>
      <c r="AS21" s="3"/>
      <c r="AT21" s="3"/>
      <c r="AU21" s="3"/>
    </row>
    <row r="22" s="55" customFormat="true" ht="15" hidden="false" customHeight="false" outlineLevel="0" collapsed="false">
      <c r="A22" s="1"/>
      <c r="B22" s="1"/>
      <c r="C22" s="2"/>
      <c r="D22" s="1"/>
      <c r="E22" s="1"/>
      <c r="F22" s="1"/>
      <c r="G22" s="1"/>
      <c r="H22" s="1"/>
      <c r="I22" s="56"/>
      <c r="J22" s="7"/>
      <c r="K22" s="4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54"/>
      <c r="AQ22" s="6"/>
      <c r="AR22" s="7"/>
      <c r="AS22" s="3"/>
      <c r="AT22" s="3"/>
      <c r="AU22" s="3"/>
    </row>
    <row r="23" s="55" customFormat="true" ht="15" hidden="false" customHeight="false" outlineLevel="0" collapsed="false">
      <c r="A23" s="1"/>
      <c r="B23" s="1"/>
      <c r="C23" s="2"/>
      <c r="D23" s="1"/>
      <c r="E23" s="1"/>
      <c r="F23" s="1"/>
      <c r="G23" s="1"/>
      <c r="H23" s="1"/>
      <c r="I23" s="56"/>
      <c r="J23" s="7"/>
      <c r="K23" s="4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54"/>
      <c r="AQ23" s="6"/>
      <c r="AR23" s="7"/>
      <c r="AS23" s="3"/>
      <c r="AT23" s="3"/>
      <c r="AU23" s="3"/>
    </row>
    <row r="24" s="55" customFormat="true" ht="15" hidden="false" customHeight="false" outlineLevel="0" collapsed="false">
      <c r="A24" s="1"/>
      <c r="B24" s="1"/>
      <c r="C24" s="2"/>
      <c r="D24" s="1"/>
      <c r="E24" s="1"/>
      <c r="F24" s="1"/>
      <c r="G24" s="1"/>
      <c r="H24" s="1"/>
      <c r="I24" s="56"/>
      <c r="J24" s="7"/>
      <c r="K24" s="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54"/>
      <c r="AQ24" s="6"/>
      <c r="AR24" s="7"/>
      <c r="AS24" s="3"/>
      <c r="AT24" s="3"/>
      <c r="AU24" s="3"/>
    </row>
    <row r="25" s="55" customFormat="true" ht="15" hidden="false" customHeight="false" outlineLevel="0" collapsed="false">
      <c r="A25" s="1"/>
      <c r="B25" s="1"/>
      <c r="C25" s="2"/>
      <c r="D25" s="1"/>
      <c r="E25" s="1"/>
      <c r="F25" s="1"/>
      <c r="G25" s="1"/>
      <c r="H25" s="1"/>
      <c r="I25" s="56"/>
      <c r="J25" s="7"/>
      <c r="K25" s="4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54"/>
      <c r="AQ25" s="6"/>
      <c r="AR25" s="7"/>
      <c r="AS25" s="3"/>
      <c r="AT25" s="3"/>
      <c r="AU25" s="3"/>
    </row>
    <row r="26" s="55" customFormat="true" ht="15" hidden="false" customHeight="false" outlineLevel="0" collapsed="false">
      <c r="A26" s="1"/>
      <c r="B26" s="1"/>
      <c r="C26" s="2"/>
      <c r="D26" s="1"/>
      <c r="E26" s="1"/>
      <c r="F26" s="1"/>
      <c r="G26" s="1"/>
      <c r="H26" s="1"/>
      <c r="I26" s="56"/>
      <c r="J26" s="7"/>
      <c r="K26" s="4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54"/>
      <c r="AQ26" s="6"/>
      <c r="AR26" s="7"/>
      <c r="AS26" s="3"/>
      <c r="AT26" s="3"/>
      <c r="AU26" s="3"/>
    </row>
    <row r="27" s="55" customFormat="true" ht="15" hidden="false" customHeight="false" outlineLevel="0" collapsed="false">
      <c r="A27" s="1"/>
      <c r="B27" s="1"/>
      <c r="C27" s="2"/>
      <c r="D27" s="1"/>
      <c r="E27" s="1"/>
      <c r="F27" s="1"/>
      <c r="G27" s="1"/>
      <c r="H27" s="1"/>
      <c r="I27" s="56"/>
      <c r="J27" s="7"/>
      <c r="K27" s="4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54"/>
      <c r="AQ27" s="6"/>
      <c r="AR27" s="7"/>
      <c r="AS27" s="3"/>
      <c r="AT27" s="3"/>
      <c r="AU27" s="3"/>
    </row>
    <row r="28" s="55" customFormat="true" ht="15" hidden="false" customHeight="false" outlineLevel="0" collapsed="false">
      <c r="A28" s="1"/>
      <c r="B28" s="1"/>
      <c r="C28" s="2"/>
      <c r="D28" s="1"/>
      <c r="E28" s="1"/>
      <c r="F28" s="1"/>
      <c r="G28" s="1"/>
      <c r="H28" s="1"/>
      <c r="I28" s="56"/>
      <c r="J28" s="7"/>
      <c r="K28" s="4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54"/>
      <c r="AQ28" s="6"/>
      <c r="AR28" s="7"/>
      <c r="AS28" s="3"/>
      <c r="AT28" s="3"/>
      <c r="AU28" s="3"/>
    </row>
    <row r="29" s="55" customFormat="true" ht="15" hidden="false" customHeight="false" outlineLevel="0" collapsed="false">
      <c r="A29" s="1"/>
      <c r="B29" s="1"/>
      <c r="C29" s="2"/>
      <c r="D29" s="1"/>
      <c r="E29" s="1"/>
      <c r="F29" s="1"/>
      <c r="G29" s="53"/>
      <c r="H29" s="4"/>
      <c r="I29" s="53"/>
      <c r="J29" s="7"/>
      <c r="K29" s="4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54"/>
      <c r="AQ29" s="6"/>
      <c r="AR29" s="7"/>
      <c r="AS29" s="3"/>
      <c r="AT29" s="3"/>
      <c r="AU29" s="3"/>
    </row>
    <row r="30" s="55" customFormat="true" ht="15" hidden="false" customHeight="false" outlineLevel="0" collapsed="false">
      <c r="A30" s="1"/>
      <c r="B30" s="1"/>
      <c r="C30" s="2"/>
      <c r="D30" s="1"/>
      <c r="E30" s="1"/>
      <c r="F30" s="1"/>
      <c r="G30" s="53"/>
      <c r="H30" s="1"/>
      <c r="I30" s="53"/>
      <c r="J30" s="7"/>
      <c r="K30" s="4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54"/>
      <c r="AQ30" s="6"/>
      <c r="AR30" s="7"/>
      <c r="AS30" s="3"/>
      <c r="AT30" s="3"/>
      <c r="AU30" s="3"/>
    </row>
    <row r="31" s="55" customFormat="true" ht="15" hidden="false" customHeight="false" outlineLevel="0" collapsed="false">
      <c r="A31" s="1"/>
      <c r="B31" s="1"/>
      <c r="C31" s="2"/>
      <c r="D31" s="1"/>
      <c r="E31" s="1"/>
      <c r="F31" s="1"/>
      <c r="G31" s="53"/>
      <c r="H31" s="1"/>
      <c r="I31" s="53"/>
      <c r="J31" s="7"/>
      <c r="K31" s="4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54"/>
      <c r="AQ31" s="6"/>
      <c r="AR31" s="7"/>
      <c r="AS31" s="3"/>
      <c r="AT31" s="3"/>
      <c r="AU31" s="3"/>
    </row>
    <row r="32" s="55" customFormat="true" ht="15" hidden="false" customHeight="false" outlineLevel="0" collapsed="false">
      <c r="A32" s="1"/>
      <c r="B32" s="1"/>
      <c r="C32" s="2"/>
      <c r="D32" s="1"/>
      <c r="E32" s="1"/>
      <c r="F32" s="1"/>
      <c r="G32" s="1"/>
      <c r="H32" s="1"/>
      <c r="I32" s="1"/>
      <c r="J32" s="7"/>
      <c r="K32" s="4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54"/>
      <c r="AQ32" s="6"/>
      <c r="AR32" s="7"/>
      <c r="AS32" s="3"/>
      <c r="AT32" s="3"/>
      <c r="AU32" s="3"/>
    </row>
    <row r="33" s="55" customFormat="true" ht="15" hidden="false" customHeight="false" outlineLevel="0" collapsed="false">
      <c r="A33" s="1"/>
      <c r="B33" s="1"/>
      <c r="C33" s="2"/>
      <c r="D33" s="1"/>
      <c r="E33" s="1"/>
      <c r="F33" s="1"/>
      <c r="G33" s="1"/>
      <c r="H33" s="1"/>
      <c r="I33" s="1"/>
      <c r="J33" s="7"/>
      <c r="K33" s="4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54"/>
      <c r="AQ33" s="6"/>
      <c r="AR33" s="7"/>
      <c r="AS33" s="3"/>
      <c r="AT33" s="3"/>
      <c r="AU33" s="3"/>
    </row>
    <row r="34" s="55" customFormat="true" ht="15" hidden="false" customHeight="false" outlineLevel="0" collapsed="false">
      <c r="A34" s="1"/>
      <c r="B34" s="1"/>
      <c r="C34" s="2"/>
      <c r="D34" s="1"/>
      <c r="E34" s="1"/>
      <c r="F34" s="1"/>
      <c r="G34" s="1"/>
      <c r="H34" s="1"/>
      <c r="I34" s="1"/>
      <c r="J34" s="7"/>
      <c r="K34" s="4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54"/>
      <c r="AQ34" s="6"/>
      <c r="AR34" s="7"/>
      <c r="AS34" s="3"/>
      <c r="AT34" s="3"/>
      <c r="AU34" s="3"/>
    </row>
    <row r="35" s="55" customFormat="true" ht="15" hidden="false" customHeight="false" outlineLevel="0" collapsed="false">
      <c r="A35" s="1"/>
      <c r="B35" s="1"/>
      <c r="C35" s="2"/>
      <c r="D35" s="1"/>
      <c r="E35" s="1"/>
      <c r="F35" s="1"/>
      <c r="G35" s="1"/>
      <c r="H35" s="1"/>
      <c r="I35" s="1"/>
      <c r="J35" s="7"/>
      <c r="K35" s="4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54"/>
      <c r="AQ35" s="6"/>
      <c r="AR35" s="7"/>
      <c r="AS35" s="3"/>
      <c r="AT35" s="3"/>
      <c r="AU35" s="3"/>
    </row>
    <row r="36" s="55" customFormat="true" ht="15" hidden="false" customHeight="false" outlineLevel="0" collapsed="false">
      <c r="A36" s="1"/>
      <c r="B36" s="1"/>
      <c r="C36" s="2"/>
      <c r="D36" s="1"/>
      <c r="E36" s="1"/>
      <c r="F36" s="1"/>
      <c r="G36" s="1"/>
      <c r="H36" s="1"/>
      <c r="I36" s="1"/>
      <c r="J36" s="7"/>
      <c r="K36" s="4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54"/>
      <c r="AQ36" s="6"/>
      <c r="AR36" s="7"/>
      <c r="AS36" s="3"/>
      <c r="AT36" s="3"/>
      <c r="AU36" s="3"/>
    </row>
    <row r="37" s="55" customFormat="true" ht="15" hidden="false" customHeight="false" outlineLevel="0" collapsed="false">
      <c r="A37" s="1"/>
      <c r="B37" s="1"/>
      <c r="C37" s="2"/>
      <c r="D37" s="1"/>
      <c r="E37" s="1"/>
      <c r="F37" s="1"/>
      <c r="G37" s="1"/>
      <c r="H37" s="1"/>
      <c r="I37" s="1"/>
      <c r="J37" s="7"/>
      <c r="K37" s="4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54"/>
      <c r="AQ37" s="6"/>
      <c r="AR37" s="7"/>
      <c r="AS37" s="3"/>
      <c r="AT37" s="3"/>
      <c r="AU37" s="3"/>
    </row>
    <row r="38" s="55" customFormat="true" ht="15" hidden="false" customHeight="false" outlineLevel="0" collapsed="false">
      <c r="A38" s="1"/>
      <c r="B38" s="1"/>
      <c r="C38" s="2"/>
      <c r="D38" s="1"/>
      <c r="E38" s="1"/>
      <c r="F38" s="1"/>
      <c r="G38" s="1"/>
      <c r="H38" s="1"/>
      <c r="I38" s="1"/>
      <c r="J38" s="7"/>
      <c r="K38" s="4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54"/>
      <c r="AQ38" s="6"/>
      <c r="AR38" s="7"/>
      <c r="AS38" s="3"/>
      <c r="AT38" s="3"/>
      <c r="AU38" s="3"/>
    </row>
    <row r="39" s="55" customFormat="true" ht="15" hidden="false" customHeight="false" outlineLevel="0" collapsed="false">
      <c r="A39" s="1"/>
      <c r="B39" s="1"/>
      <c r="C39" s="2"/>
      <c r="D39" s="1"/>
      <c r="E39" s="1"/>
      <c r="F39" s="1"/>
      <c r="G39" s="1"/>
      <c r="H39" s="1"/>
      <c r="I39" s="1"/>
      <c r="J39" s="7"/>
      <c r="K39" s="4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54"/>
      <c r="AQ39" s="6"/>
      <c r="AR39" s="7"/>
      <c r="AS39" s="3"/>
      <c r="AT39" s="3"/>
      <c r="AU39" s="3"/>
    </row>
    <row r="40" s="55" customFormat="true" ht="15" hidden="false" customHeight="false" outlineLevel="0" collapsed="false">
      <c r="A40" s="1"/>
      <c r="B40" s="1"/>
      <c r="C40" s="2"/>
      <c r="D40" s="1"/>
      <c r="E40" s="1"/>
      <c r="F40" s="1"/>
      <c r="G40" s="1"/>
      <c r="H40" s="1"/>
      <c r="I40" s="1"/>
      <c r="J40" s="7"/>
      <c r="K40" s="4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54"/>
      <c r="AQ40" s="6"/>
      <c r="AR40" s="7"/>
      <c r="AS40" s="3"/>
      <c r="AT40" s="3"/>
      <c r="AU40" s="3"/>
    </row>
    <row r="41" s="55" customFormat="true" ht="15" hidden="false" customHeight="false" outlineLevel="0" collapsed="false">
      <c r="A41" s="1"/>
      <c r="B41" s="1"/>
      <c r="C41" s="2"/>
      <c r="D41" s="1"/>
      <c r="E41" s="1"/>
      <c r="F41" s="1"/>
      <c r="G41" s="1"/>
      <c r="H41" s="1"/>
      <c r="I41" s="1"/>
      <c r="J41" s="7"/>
      <c r="K41" s="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54"/>
      <c r="AQ41" s="6"/>
      <c r="AR41" s="7"/>
      <c r="AS41" s="3"/>
      <c r="AT41" s="3"/>
      <c r="AU41" s="3"/>
    </row>
    <row r="42" s="55" customFormat="true" ht="15" hidden="false" customHeight="false" outlineLevel="0" collapsed="false">
      <c r="A42" s="1"/>
      <c r="B42" s="1"/>
      <c r="C42" s="2"/>
      <c r="D42" s="1"/>
      <c r="E42" s="1"/>
      <c r="F42" s="1"/>
      <c r="G42" s="1"/>
      <c r="H42" s="1"/>
      <c r="I42" s="1"/>
      <c r="J42" s="7"/>
      <c r="K42" s="4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54"/>
      <c r="AQ42" s="6"/>
      <c r="AR42" s="7"/>
      <c r="AS42" s="3"/>
      <c r="AT42" s="3"/>
      <c r="AU42" s="3"/>
    </row>
    <row r="43" s="55" customFormat="true" ht="15" hidden="false" customHeight="false" outlineLevel="0" collapsed="false">
      <c r="A43" s="1"/>
      <c r="B43" s="1"/>
      <c r="C43" s="2"/>
      <c r="D43" s="1"/>
      <c r="E43" s="1"/>
      <c r="F43" s="1"/>
      <c r="G43" s="1"/>
      <c r="H43" s="1"/>
      <c r="I43" s="56"/>
      <c r="J43" s="7"/>
      <c r="K43" s="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54"/>
      <c r="AQ43" s="6"/>
      <c r="AR43" s="7"/>
      <c r="AS43" s="3"/>
      <c r="AT43" s="3"/>
      <c r="AU43" s="3"/>
    </row>
    <row r="44" customFormat="false" ht="15" hidden="false" customHeight="false" outlineLevel="0" collapsed="false">
      <c r="I44" s="1"/>
      <c r="J44" s="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54"/>
      <c r="AV44" s="55"/>
      <c r="AW44" s="55"/>
      <c r="AX44" s="55"/>
    </row>
    <row r="45" customFormat="false" ht="15" hidden="false" customHeight="false" outlineLevel="0" collapsed="false">
      <c r="I45" s="1"/>
      <c r="J45" s="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54"/>
    </row>
    <row r="46" customFormat="false" ht="15" hidden="false" customHeight="false" outlineLevel="0" collapsed="false">
      <c r="I46" s="1"/>
      <c r="J46" s="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54"/>
    </row>
    <row r="47" s="63" customFormat="true" ht="15" hidden="false" customHeight="false" outlineLevel="0" collapsed="false">
      <c r="A47" s="57"/>
      <c r="B47" s="1"/>
      <c r="C47" s="58"/>
      <c r="D47" s="57"/>
      <c r="E47" s="57"/>
      <c r="F47" s="57"/>
      <c r="G47" s="57"/>
      <c r="H47" s="57"/>
      <c r="I47" s="57"/>
      <c r="J47" s="59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60"/>
      <c r="AQ47" s="6"/>
      <c r="AR47" s="61"/>
      <c r="AS47" s="62"/>
      <c r="AT47" s="62"/>
      <c r="AU47" s="62"/>
    </row>
    <row r="48" customFormat="false" ht="15" hidden="false" customHeight="false" outlineLevel="0" collapsed="false">
      <c r="I48" s="1"/>
      <c r="J48" s="7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54"/>
    </row>
  </sheetData>
  <autoFilter ref="A8:AU48"/>
  <mergeCells count="34">
    <mergeCell ref="A2:A7"/>
    <mergeCell ref="B2:B7"/>
    <mergeCell ref="C2:C7"/>
    <mergeCell ref="D2:D7"/>
    <mergeCell ref="E2:E7"/>
    <mergeCell ref="F2:F7"/>
    <mergeCell ref="G2:G7"/>
    <mergeCell ref="H2:K6"/>
    <mergeCell ref="L2:U2"/>
    <mergeCell ref="V2:AE2"/>
    <mergeCell ref="AF2:AG3"/>
    <mergeCell ref="AH2:AI3"/>
    <mergeCell ref="AJ2:AJ3"/>
    <mergeCell ref="AK2:AL3"/>
    <mergeCell ref="AM2:AN3"/>
    <mergeCell ref="AO2:AO3"/>
    <mergeCell ref="AP2:AP3"/>
    <mergeCell ref="AQ2:AQ4"/>
    <mergeCell ref="AR2:AR7"/>
    <mergeCell ref="AS2:AU3"/>
    <mergeCell ref="L3:P3"/>
    <mergeCell ref="Q3:U3"/>
    <mergeCell ref="V3:Z3"/>
    <mergeCell ref="AA3:AE3"/>
    <mergeCell ref="AS4:AU4"/>
    <mergeCell ref="L5:P5"/>
    <mergeCell ref="Q5:U5"/>
    <mergeCell ref="V5:Z5"/>
    <mergeCell ref="AA5:AE5"/>
    <mergeCell ref="AF5:AG5"/>
    <mergeCell ref="AH5:AI5"/>
    <mergeCell ref="AS5:AS7"/>
    <mergeCell ref="AT5:AT7"/>
    <mergeCell ref="AU5:AU7"/>
  </mergeCells>
  <conditionalFormatting sqref="AR26:AR28">
    <cfRule type="containsText" priority="2" operator="containsText" aboveAverage="0" equalAverage="0" bottom="0" percent="0" rank="0" text="No" dxfId="10">
      <formula>NOT(ISERROR(SEARCH("No",AR26)))</formula>
    </cfRule>
    <cfRule type="containsText" priority="3" operator="containsText" aboveAverage="0" equalAverage="0" bottom="0" percent="0" rank="0" text="Yes" dxfId="11">
      <formula>NOT(ISERROR(SEARCH("Yes",AR26)))</formula>
    </cfRule>
  </conditionalFormatting>
  <conditionalFormatting sqref="AR19:AR25">
    <cfRule type="containsText" priority="4" operator="containsText" aboveAverage="0" equalAverage="0" bottom="0" percent="0" rank="0" text="No" dxfId="12">
      <formula>NOT(ISERROR(SEARCH("No",AR19)))</formula>
    </cfRule>
    <cfRule type="containsText" priority="5" operator="containsText" aboveAverage="0" equalAverage="0" bottom="0" percent="0" rank="0" text="Yes" dxfId="13">
      <formula>NOT(ISERROR(SEARCH("Yes",AR19)))</formula>
    </cfRule>
  </conditionalFormatting>
  <conditionalFormatting sqref="AR10:AR18">
    <cfRule type="containsText" priority="6" operator="containsText" aboveAverage="0" equalAverage="0" bottom="0" percent="0" rank="0" text="No" dxfId="14">
      <formula>NOT(ISERROR(SEARCH("No",AR10)))</formula>
    </cfRule>
    <cfRule type="containsText" priority="7" operator="containsText" aboveAverage="0" equalAverage="0" bottom="0" percent="0" rank="0" text="Yes" dxfId="15">
      <formula>NOT(ISERROR(SEARCH("Yes",AR10)))</formula>
    </cfRule>
  </conditionalFormatting>
  <conditionalFormatting sqref="AR29">
    <cfRule type="containsText" priority="8" operator="containsText" aboveAverage="0" equalAverage="0" bottom="0" percent="0" rank="0" text="No" dxfId="16">
      <formula>NOT(ISERROR(SEARCH("No",AR29)))</formula>
    </cfRule>
    <cfRule type="containsText" priority="9" operator="containsText" aboveAverage="0" equalAverage="0" bottom="0" percent="0" rank="0" text="Yes" dxfId="17">
      <formula>NOT(ISERROR(SEARCH("Yes",AR29)))</formula>
    </cfRule>
  </conditionalFormatting>
  <conditionalFormatting sqref="AR9 AR30:AR1048576">
    <cfRule type="containsText" priority="10" operator="containsText" aboveAverage="0" equalAverage="0" bottom="0" percent="0" rank="0" text="No" dxfId="18">
      <formula>NOT(ISERROR(SEARCH("No",AR9)))</formula>
    </cfRule>
    <cfRule type="containsText" priority="11" operator="containsText" aboveAverage="0" equalAverage="0" bottom="0" percent="0" rank="0" text="Yes" dxfId="19">
      <formula>NOT(ISERROR(SEARCH("Yes",AR9)))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8" topLeftCell="G9" activePane="bottomRight" state="frozen"/>
      <selection pane="topLeft" activeCell="A1" activeCellId="0" sqref="A1"/>
      <selection pane="topRight" activeCell="G1" activeCellId="0" sqref="G1"/>
      <selection pane="bottomLeft" activeCell="A9" activeCellId="0" sqref="A9"/>
      <selection pane="bottomRight" activeCell="C11" activeCellId="0" sqref="C11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1" width="10.29"/>
    <col collapsed="false" customWidth="true" hidden="false" outlineLevel="0" max="2" min="2" style="1" width="6.29"/>
    <col collapsed="false" customWidth="true" hidden="false" outlineLevel="0" max="3" min="3" style="64" width="16"/>
    <col collapsed="false" customWidth="true" hidden="false" outlineLevel="0" max="4" min="4" style="65" width="13.15"/>
    <col collapsed="false" customWidth="true" hidden="false" outlineLevel="0" max="5" min="5" style="65" width="10.29"/>
    <col collapsed="false" customWidth="true" hidden="false" outlineLevel="0" max="6" min="6" style="65" width="14.86"/>
    <col collapsed="false" customWidth="true" hidden="false" outlineLevel="0" max="7" min="7" style="65" width="12"/>
    <col collapsed="false" customWidth="true" hidden="false" outlineLevel="0" max="8" min="8" style="66" width="10.14"/>
    <col collapsed="false" customWidth="true" hidden="false" outlineLevel="0" max="9" min="9" style="67" width="11.57"/>
    <col collapsed="false" customWidth="true" hidden="false" outlineLevel="0" max="10" min="10" style="67" width="11"/>
    <col collapsed="false" customWidth="true" hidden="false" outlineLevel="0" max="12" min="11" style="66" width="7.16"/>
    <col collapsed="false" customWidth="true" hidden="false" outlineLevel="0" max="16" min="13" style="66" width="8.71"/>
    <col collapsed="false" customWidth="true" hidden="false" outlineLevel="0" max="17" min="17" style="66" width="13.57"/>
    <col collapsed="false" customWidth="true" hidden="false" outlineLevel="0" max="21" min="18" style="66" width="12.71"/>
    <col collapsed="false" customWidth="true" hidden="false" outlineLevel="0" max="22" min="22" style="67" width="11.57"/>
    <col collapsed="false" customWidth="true" hidden="false" outlineLevel="0" max="23" min="23" style="67" width="11.85"/>
    <col collapsed="false" customWidth="true" hidden="false" outlineLevel="0" max="24" min="24" style="67" width="15.14"/>
    <col collapsed="false" customWidth="true" hidden="false" outlineLevel="0" max="25" min="25" style="66" width="14.71"/>
    <col collapsed="false" customWidth="true" hidden="false" outlineLevel="0" max="26" min="26" style="66" width="13.15"/>
    <col collapsed="false" customWidth="true" hidden="false" outlineLevel="0" max="27" min="27" style="66" width="12.71"/>
    <col collapsed="false" customWidth="false" hidden="false" outlineLevel="0" max="16384" min="28" style="34" width="9.14"/>
  </cols>
  <sheetData>
    <row r="1" customFormat="false" ht="24.45" hidden="false" customHeight="false" outlineLevel="0" collapsed="false">
      <c r="A1" s="68"/>
      <c r="B1" s="69"/>
      <c r="C1" s="68"/>
      <c r="D1" s="68"/>
      <c r="E1" s="68"/>
      <c r="F1" s="68"/>
      <c r="G1" s="70"/>
      <c r="H1" s="70"/>
      <c r="I1" s="71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2"/>
      <c r="W1" s="72"/>
      <c r="X1" s="72"/>
      <c r="Y1" s="72"/>
      <c r="Z1" s="72"/>
      <c r="AA1" s="72"/>
      <c r="AB1" s="33"/>
      <c r="AC1" s="73"/>
      <c r="AD1" s="74"/>
    </row>
    <row r="2" s="29" customFormat="true" ht="15" hidden="false" customHeight="false" outlineLevel="0" collapsed="false">
      <c r="A2" s="19"/>
      <c r="B2" s="19"/>
      <c r="C2" s="75"/>
      <c r="D2" s="75"/>
      <c r="E2" s="75"/>
      <c r="F2" s="76"/>
      <c r="G2" s="76"/>
      <c r="H2" s="76"/>
      <c r="I2" s="76"/>
      <c r="J2" s="76"/>
      <c r="K2" s="77"/>
      <c r="L2" s="77"/>
      <c r="M2" s="78"/>
      <c r="N2" s="78"/>
      <c r="O2" s="78"/>
      <c r="P2" s="78"/>
      <c r="Q2" s="79"/>
      <c r="R2" s="80"/>
      <c r="S2" s="80"/>
      <c r="T2" s="81"/>
      <c r="U2" s="81"/>
      <c r="V2" s="82"/>
      <c r="W2" s="83"/>
      <c r="X2" s="84"/>
      <c r="Y2" s="85"/>
      <c r="Z2" s="85"/>
      <c r="AA2" s="85"/>
      <c r="AB2" s="27"/>
      <c r="AC2" s="27"/>
      <c r="AD2" s="28"/>
    </row>
    <row r="3" customFormat="false" ht="15" hidden="false" customHeight="false" outlineLevel="0" collapsed="false">
      <c r="A3" s="19"/>
      <c r="B3" s="19"/>
      <c r="C3" s="75"/>
      <c r="D3" s="75"/>
      <c r="E3" s="75"/>
      <c r="F3" s="76"/>
      <c r="G3" s="76"/>
      <c r="H3" s="76"/>
      <c r="I3" s="76"/>
      <c r="J3" s="76"/>
      <c r="K3" s="86"/>
      <c r="L3" s="87"/>
      <c r="M3" s="88"/>
      <c r="N3" s="89"/>
      <c r="O3" s="88"/>
      <c r="P3" s="89"/>
      <c r="Q3" s="87"/>
      <c r="R3" s="89"/>
      <c r="S3" s="89"/>
      <c r="T3" s="87"/>
      <c r="U3" s="87"/>
      <c r="V3" s="82"/>
      <c r="W3" s="83"/>
      <c r="X3" s="83"/>
      <c r="Y3" s="85"/>
      <c r="Z3" s="85"/>
      <c r="AA3" s="85"/>
      <c r="AB3" s="33"/>
      <c r="AC3" s="33"/>
      <c r="AD3" s="33"/>
    </row>
    <row r="4" customFormat="false" ht="15" hidden="false" customHeight="false" outlineLevel="0" collapsed="false">
      <c r="A4" s="19"/>
      <c r="B4" s="19"/>
      <c r="C4" s="75"/>
      <c r="D4" s="75"/>
      <c r="E4" s="75"/>
      <c r="F4" s="76"/>
      <c r="G4" s="76"/>
      <c r="H4" s="76"/>
      <c r="I4" s="76"/>
      <c r="J4" s="76"/>
      <c r="K4" s="90"/>
      <c r="L4" s="90"/>
      <c r="M4" s="91"/>
      <c r="N4" s="91"/>
      <c r="O4" s="91"/>
      <c r="P4" s="91"/>
      <c r="Q4" s="90"/>
      <c r="R4" s="91"/>
      <c r="S4" s="91"/>
      <c r="T4" s="90"/>
      <c r="U4" s="90"/>
      <c r="V4" s="82"/>
      <c r="W4" s="83"/>
      <c r="X4" s="83"/>
      <c r="Y4" s="85"/>
      <c r="Z4" s="85"/>
      <c r="AA4" s="85"/>
      <c r="AB4" s="33"/>
      <c r="AC4" s="33"/>
      <c r="AD4" s="33"/>
    </row>
    <row r="5" customFormat="false" ht="15" hidden="false" customHeight="false" outlineLevel="0" collapsed="false">
      <c r="A5" s="19"/>
      <c r="B5" s="19"/>
      <c r="C5" s="75"/>
      <c r="D5" s="75"/>
      <c r="E5" s="75"/>
      <c r="F5" s="76"/>
      <c r="G5" s="76"/>
      <c r="H5" s="76"/>
      <c r="I5" s="76"/>
      <c r="J5" s="76"/>
      <c r="K5" s="92"/>
      <c r="L5" s="92"/>
      <c r="M5" s="93"/>
      <c r="N5" s="93"/>
      <c r="O5" s="93"/>
      <c r="P5" s="93"/>
      <c r="Q5" s="92"/>
      <c r="R5" s="94"/>
      <c r="S5" s="94"/>
      <c r="T5" s="95"/>
      <c r="U5" s="95"/>
      <c r="V5" s="96"/>
      <c r="W5" s="97"/>
      <c r="X5" s="84"/>
      <c r="Y5" s="98"/>
      <c r="Z5" s="98"/>
      <c r="AA5" s="98"/>
      <c r="AB5" s="33"/>
      <c r="AC5" s="33"/>
      <c r="AD5" s="33"/>
    </row>
    <row r="6" customFormat="false" ht="15" hidden="false" customHeight="false" outlineLevel="0" collapsed="false">
      <c r="A6" s="19"/>
      <c r="B6" s="19"/>
      <c r="C6" s="75"/>
      <c r="D6" s="75"/>
      <c r="E6" s="75"/>
      <c r="F6" s="76"/>
      <c r="G6" s="76"/>
      <c r="H6" s="76"/>
      <c r="I6" s="76"/>
      <c r="J6" s="76"/>
      <c r="K6" s="95"/>
      <c r="L6" s="95"/>
      <c r="M6" s="94"/>
      <c r="N6" s="94"/>
      <c r="O6" s="94"/>
      <c r="P6" s="94"/>
      <c r="Q6" s="95"/>
      <c r="R6" s="94"/>
      <c r="S6" s="94"/>
      <c r="T6" s="95"/>
      <c r="U6" s="95"/>
      <c r="V6" s="99"/>
      <c r="W6" s="97"/>
      <c r="X6" s="97"/>
      <c r="Y6" s="98"/>
      <c r="Z6" s="98"/>
      <c r="AA6" s="98"/>
      <c r="AB6" s="33"/>
      <c r="AC6" s="33"/>
      <c r="AD6" s="33"/>
    </row>
    <row r="7" customFormat="false" ht="15" hidden="false" customHeight="false" outlineLevel="0" collapsed="false">
      <c r="A7" s="19"/>
      <c r="B7" s="19"/>
      <c r="C7" s="75"/>
      <c r="D7" s="75"/>
      <c r="E7" s="75"/>
      <c r="F7" s="76"/>
      <c r="G7" s="76"/>
      <c r="H7" s="76"/>
      <c r="I7" s="76"/>
      <c r="J7" s="76"/>
      <c r="K7" s="90"/>
      <c r="L7" s="90"/>
      <c r="M7" s="91"/>
      <c r="N7" s="91"/>
      <c r="O7" s="91"/>
      <c r="P7" s="91"/>
      <c r="Q7" s="90"/>
      <c r="R7" s="91"/>
      <c r="S7" s="91"/>
      <c r="T7" s="90"/>
      <c r="U7" s="90"/>
      <c r="V7" s="100"/>
      <c r="W7" s="97"/>
      <c r="X7" s="97"/>
      <c r="Y7" s="98"/>
      <c r="Z7" s="98"/>
      <c r="AA7" s="98"/>
      <c r="AB7" s="33"/>
      <c r="AC7" s="33"/>
      <c r="AD7" s="33"/>
    </row>
    <row r="8" customFormat="false" ht="15" hidden="false" customHeight="false" outlineLevel="0" collapsed="false">
      <c r="A8" s="47"/>
      <c r="B8" s="47"/>
      <c r="C8" s="47"/>
      <c r="D8" s="47"/>
      <c r="E8" s="47"/>
      <c r="F8" s="47"/>
      <c r="G8" s="101"/>
      <c r="H8" s="101"/>
      <c r="I8" s="102"/>
      <c r="J8" s="102"/>
      <c r="K8" s="90"/>
      <c r="L8" s="90"/>
      <c r="M8" s="91"/>
      <c r="N8" s="91"/>
      <c r="O8" s="91"/>
      <c r="P8" s="91"/>
      <c r="Q8" s="90"/>
      <c r="R8" s="91"/>
      <c r="S8" s="91"/>
      <c r="T8" s="90"/>
      <c r="U8" s="90"/>
      <c r="V8" s="100"/>
      <c r="W8" s="97"/>
      <c r="X8" s="97"/>
      <c r="Y8" s="98"/>
      <c r="Z8" s="98"/>
      <c r="AA8" s="98"/>
      <c r="AB8" s="33"/>
      <c r="AC8" s="33"/>
      <c r="AD8" s="33"/>
    </row>
    <row r="9" s="33" customFormat="true" ht="15" hidden="false" customHeight="false" outlineLevel="0" collapsed="false">
      <c r="A9" s="1"/>
      <c r="B9" s="1"/>
      <c r="C9" s="103"/>
      <c r="D9" s="103"/>
      <c r="E9" s="103"/>
      <c r="F9" s="104"/>
      <c r="G9" s="105"/>
      <c r="H9" s="104"/>
      <c r="I9" s="106"/>
      <c r="J9" s="105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7"/>
      <c r="W9" s="108"/>
      <c r="X9" s="108"/>
      <c r="Y9" s="109"/>
      <c r="Z9" s="109"/>
      <c r="AA9" s="109"/>
    </row>
    <row r="10" s="33" customFormat="true" ht="15" hidden="false" customHeight="false" outlineLevel="0" collapsed="false">
      <c r="A10" s="1"/>
      <c r="B10" s="1"/>
      <c r="C10" s="110"/>
      <c r="D10" s="103"/>
      <c r="E10" s="103"/>
      <c r="F10" s="111"/>
      <c r="G10" s="111"/>
      <c r="H10" s="112"/>
      <c r="I10" s="113"/>
      <c r="J10" s="105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7"/>
      <c r="W10" s="108"/>
      <c r="X10" s="108"/>
      <c r="Y10" s="109"/>
      <c r="Z10" s="109"/>
      <c r="AA10" s="109"/>
    </row>
    <row r="11" s="33" customFormat="true" ht="15" hidden="false" customHeight="false" outlineLevel="0" collapsed="false">
      <c r="A11" s="1"/>
      <c r="B11" s="1"/>
      <c r="C11" s="110"/>
      <c r="D11" s="103"/>
      <c r="E11" s="103"/>
      <c r="F11" s="111"/>
      <c r="G11" s="111"/>
      <c r="H11" s="112"/>
      <c r="I11" s="113"/>
      <c r="J11" s="105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7"/>
      <c r="W11" s="108"/>
      <c r="X11" s="108"/>
      <c r="Y11" s="109"/>
      <c r="Z11" s="109"/>
      <c r="AA11" s="109"/>
    </row>
    <row r="12" s="33" customFormat="true" ht="15" hidden="false" customHeight="false" outlineLevel="0" collapsed="false">
      <c r="A12" s="1"/>
      <c r="B12" s="1"/>
      <c r="C12" s="110"/>
      <c r="D12" s="103"/>
      <c r="E12" s="103"/>
      <c r="F12" s="111"/>
      <c r="G12" s="111"/>
      <c r="H12" s="112"/>
      <c r="I12" s="113"/>
      <c r="J12" s="105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7"/>
      <c r="W12" s="108"/>
      <c r="X12" s="108"/>
      <c r="Y12" s="109"/>
      <c r="Z12" s="109"/>
      <c r="AA12" s="109"/>
    </row>
    <row r="13" s="33" customFormat="true" ht="15" hidden="false" customHeight="false" outlineLevel="0" collapsed="false">
      <c r="A13" s="1"/>
      <c r="B13" s="1"/>
      <c r="C13" s="110"/>
      <c r="D13" s="103"/>
      <c r="E13" s="103"/>
      <c r="F13" s="111"/>
      <c r="G13" s="111"/>
      <c r="H13" s="112"/>
      <c r="I13" s="113"/>
      <c r="J13" s="105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7"/>
      <c r="W13" s="108"/>
      <c r="X13" s="108"/>
      <c r="Y13" s="109"/>
      <c r="Z13" s="109"/>
      <c r="AA13" s="109"/>
    </row>
    <row r="14" s="33" customFormat="true" ht="15" hidden="false" customHeight="false" outlineLevel="0" collapsed="false">
      <c r="A14" s="1"/>
      <c r="B14" s="1"/>
      <c r="C14" s="110"/>
      <c r="D14" s="103"/>
      <c r="E14" s="103"/>
      <c r="F14" s="111"/>
      <c r="G14" s="111"/>
      <c r="H14" s="112"/>
      <c r="I14" s="113"/>
      <c r="J14" s="105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7"/>
      <c r="W14" s="108"/>
      <c r="X14" s="108"/>
      <c r="Y14" s="109"/>
      <c r="Z14" s="109"/>
      <c r="AA14" s="109"/>
    </row>
    <row r="15" s="33" customFormat="true" ht="15" hidden="false" customHeight="false" outlineLevel="0" collapsed="false">
      <c r="A15" s="1"/>
      <c r="B15" s="1"/>
      <c r="C15" s="110"/>
      <c r="D15" s="103"/>
      <c r="E15" s="103"/>
      <c r="F15" s="111"/>
      <c r="G15" s="111"/>
      <c r="H15" s="112"/>
      <c r="I15" s="113"/>
      <c r="J15" s="105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7"/>
      <c r="W15" s="108"/>
      <c r="X15" s="108"/>
      <c r="Y15" s="109"/>
      <c r="Z15" s="109"/>
      <c r="AA15" s="109"/>
    </row>
    <row r="16" s="33" customFormat="true" ht="15" hidden="false" customHeight="false" outlineLevel="0" collapsed="false">
      <c r="A16" s="1"/>
      <c r="B16" s="1"/>
      <c r="C16" s="110"/>
      <c r="D16" s="103"/>
      <c r="E16" s="103"/>
      <c r="F16" s="111"/>
      <c r="G16" s="111"/>
      <c r="H16" s="112"/>
      <c r="I16" s="113"/>
      <c r="J16" s="105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7"/>
      <c r="W16" s="108"/>
      <c r="X16" s="108"/>
      <c r="Y16" s="109"/>
      <c r="Z16" s="109"/>
      <c r="AA16" s="109"/>
    </row>
    <row r="17" s="33" customFormat="true" ht="15" hidden="false" customHeight="false" outlineLevel="0" collapsed="false">
      <c r="A17" s="1"/>
      <c r="B17" s="1"/>
      <c r="C17" s="110"/>
      <c r="D17" s="103"/>
      <c r="E17" s="103"/>
      <c r="F17" s="111"/>
      <c r="G17" s="111"/>
      <c r="H17" s="112"/>
      <c r="I17" s="113"/>
      <c r="J17" s="105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7"/>
      <c r="W17" s="108"/>
      <c r="X17" s="108"/>
      <c r="Y17" s="109"/>
      <c r="Z17" s="109"/>
      <c r="AA17" s="109"/>
    </row>
    <row r="18" s="33" customFormat="true" ht="15" hidden="false" customHeight="false" outlineLevel="0" collapsed="false">
      <c r="A18" s="1"/>
      <c r="B18" s="1"/>
      <c r="C18" s="110"/>
      <c r="D18" s="103"/>
      <c r="E18" s="103"/>
      <c r="F18" s="111"/>
      <c r="G18" s="111"/>
      <c r="H18" s="112"/>
      <c r="I18" s="113"/>
      <c r="J18" s="105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7"/>
      <c r="W18" s="108"/>
      <c r="X18" s="108"/>
      <c r="Y18" s="109"/>
      <c r="Z18" s="109"/>
      <c r="AA18" s="109"/>
    </row>
    <row r="19" s="33" customFormat="true" ht="15" hidden="false" customHeight="false" outlineLevel="0" collapsed="false">
      <c r="A19" s="1"/>
      <c r="B19" s="1"/>
      <c r="C19" s="110"/>
      <c r="D19" s="103"/>
      <c r="E19" s="103"/>
      <c r="F19" s="111"/>
      <c r="G19" s="111"/>
      <c r="H19" s="112"/>
      <c r="I19" s="113"/>
      <c r="J19" s="105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7"/>
      <c r="W19" s="108"/>
      <c r="X19" s="108"/>
      <c r="Y19" s="109"/>
      <c r="Z19" s="109"/>
      <c r="AA19" s="109"/>
    </row>
    <row r="20" s="33" customFormat="true" ht="15" hidden="false" customHeight="false" outlineLevel="0" collapsed="false">
      <c r="A20" s="1"/>
      <c r="B20" s="1"/>
      <c r="C20" s="110"/>
      <c r="D20" s="103"/>
      <c r="E20" s="103"/>
      <c r="F20" s="111"/>
      <c r="G20" s="111"/>
      <c r="H20" s="112"/>
      <c r="I20" s="113"/>
      <c r="J20" s="105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7"/>
      <c r="W20" s="108"/>
      <c r="X20" s="108"/>
      <c r="Y20" s="109"/>
      <c r="Z20" s="109"/>
      <c r="AA20" s="109"/>
    </row>
    <row r="21" s="33" customFormat="true" ht="15" hidden="false" customHeight="false" outlineLevel="0" collapsed="false">
      <c r="A21" s="1"/>
      <c r="B21" s="1"/>
      <c r="C21" s="110"/>
      <c r="D21" s="103"/>
      <c r="E21" s="103"/>
      <c r="F21" s="111"/>
      <c r="G21" s="111"/>
      <c r="H21" s="112"/>
      <c r="I21" s="113"/>
      <c r="J21" s="105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7"/>
      <c r="W21" s="108"/>
      <c r="X21" s="108"/>
      <c r="Y21" s="109"/>
      <c r="Z21" s="109"/>
      <c r="AA21" s="109"/>
    </row>
    <row r="22" s="33" customFormat="true" ht="15" hidden="false" customHeight="false" outlineLevel="0" collapsed="false">
      <c r="A22" s="1"/>
      <c r="B22" s="1"/>
      <c r="C22" s="110"/>
      <c r="D22" s="103"/>
      <c r="E22" s="103"/>
      <c r="F22" s="111"/>
      <c r="G22" s="111"/>
      <c r="H22" s="112"/>
      <c r="I22" s="113"/>
      <c r="J22" s="105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7"/>
      <c r="W22" s="108"/>
      <c r="X22" s="108"/>
      <c r="Y22" s="109"/>
      <c r="Z22" s="109"/>
      <c r="AA22" s="109"/>
    </row>
    <row r="23" s="33" customFormat="true" ht="15" hidden="false" customHeight="false" outlineLevel="0" collapsed="false">
      <c r="A23" s="1"/>
      <c r="B23" s="1"/>
      <c r="C23" s="110"/>
      <c r="D23" s="103"/>
      <c r="E23" s="103"/>
      <c r="F23" s="111"/>
      <c r="G23" s="111"/>
      <c r="H23" s="112"/>
      <c r="I23" s="113"/>
      <c r="J23" s="105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7"/>
      <c r="W23" s="108"/>
      <c r="X23" s="108"/>
      <c r="Y23" s="109"/>
      <c r="Z23" s="109"/>
      <c r="AA23" s="109"/>
    </row>
    <row r="24" s="33" customFormat="true" ht="15" hidden="false" customHeight="false" outlineLevel="0" collapsed="false">
      <c r="A24" s="1"/>
      <c r="B24" s="1"/>
      <c r="C24" s="110"/>
      <c r="D24" s="103"/>
      <c r="E24" s="103"/>
      <c r="F24" s="111"/>
      <c r="G24" s="111"/>
      <c r="H24" s="112"/>
      <c r="I24" s="113"/>
      <c r="J24" s="105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7"/>
      <c r="W24" s="108"/>
      <c r="X24" s="108"/>
      <c r="Y24" s="109"/>
      <c r="Z24" s="109"/>
      <c r="AA24" s="109"/>
    </row>
    <row r="25" s="33" customFormat="true" ht="15" hidden="false" customHeight="false" outlineLevel="0" collapsed="false">
      <c r="A25" s="1"/>
      <c r="B25" s="1"/>
      <c r="C25" s="110"/>
      <c r="D25" s="103"/>
      <c r="E25" s="103"/>
      <c r="F25" s="111"/>
      <c r="G25" s="111"/>
      <c r="H25" s="112"/>
      <c r="I25" s="113"/>
      <c r="J25" s="105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7"/>
      <c r="W25" s="108"/>
      <c r="X25" s="108"/>
      <c r="Y25" s="109"/>
      <c r="Z25" s="109"/>
      <c r="AA25" s="109"/>
    </row>
    <row r="26" s="33" customFormat="true" ht="15" hidden="false" customHeight="false" outlineLevel="0" collapsed="false">
      <c r="A26" s="1"/>
      <c r="B26" s="1"/>
      <c r="C26" s="110"/>
      <c r="D26" s="103"/>
      <c r="E26" s="103"/>
      <c r="F26" s="111"/>
      <c r="G26" s="111"/>
      <c r="H26" s="112"/>
      <c r="I26" s="113"/>
      <c r="J26" s="105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7"/>
      <c r="W26" s="108"/>
      <c r="X26" s="108"/>
      <c r="Y26" s="109"/>
      <c r="Z26" s="109"/>
      <c r="AA26" s="109"/>
    </row>
    <row r="27" s="33" customFormat="true" ht="15" hidden="false" customHeight="false" outlineLevel="0" collapsed="false">
      <c r="A27" s="1"/>
      <c r="B27" s="1"/>
      <c r="C27" s="110"/>
      <c r="D27" s="103"/>
      <c r="E27" s="103"/>
      <c r="F27" s="111"/>
      <c r="G27" s="111"/>
      <c r="H27" s="112"/>
      <c r="I27" s="113"/>
      <c r="J27" s="105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7"/>
      <c r="W27" s="108"/>
      <c r="X27" s="108"/>
      <c r="Y27" s="109"/>
      <c r="Z27" s="109"/>
      <c r="AA27" s="109"/>
    </row>
    <row r="28" s="33" customFormat="true" ht="15" hidden="false" customHeight="false" outlineLevel="0" collapsed="false">
      <c r="A28" s="1"/>
      <c r="B28" s="1"/>
      <c r="C28" s="110"/>
      <c r="D28" s="103"/>
      <c r="E28" s="103"/>
      <c r="F28" s="111"/>
      <c r="G28" s="111"/>
      <c r="H28" s="112"/>
      <c r="I28" s="113"/>
      <c r="J28" s="105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7"/>
      <c r="W28" s="108"/>
      <c r="X28" s="108"/>
      <c r="Y28" s="109"/>
      <c r="Z28" s="109"/>
      <c r="AA28" s="109"/>
    </row>
    <row r="29" s="33" customFormat="true" ht="15" hidden="false" customHeight="false" outlineLevel="0" collapsed="false">
      <c r="A29" s="1"/>
      <c r="B29" s="1"/>
      <c r="C29" s="110"/>
      <c r="D29" s="103"/>
      <c r="E29" s="103"/>
      <c r="F29" s="111"/>
      <c r="G29" s="111"/>
      <c r="H29" s="112"/>
      <c r="I29" s="113"/>
      <c r="J29" s="105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7"/>
      <c r="W29" s="108"/>
      <c r="X29" s="108"/>
      <c r="Y29" s="109"/>
      <c r="Z29" s="109"/>
      <c r="AA29" s="109"/>
    </row>
    <row r="30" s="33" customFormat="true" ht="15" hidden="false" customHeight="false" outlineLevel="0" collapsed="false">
      <c r="A30" s="1"/>
      <c r="B30" s="1"/>
      <c r="C30" s="110"/>
      <c r="D30" s="103"/>
      <c r="E30" s="103"/>
      <c r="F30" s="111"/>
      <c r="G30" s="111"/>
      <c r="H30" s="112"/>
      <c r="I30" s="113"/>
      <c r="J30" s="105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7"/>
      <c r="W30" s="108"/>
      <c r="X30" s="108"/>
      <c r="Y30" s="109"/>
      <c r="Z30" s="109"/>
      <c r="AA30" s="109"/>
    </row>
    <row r="31" s="33" customFormat="true" ht="15" hidden="false" customHeight="false" outlineLevel="0" collapsed="false">
      <c r="A31" s="1"/>
      <c r="B31" s="1"/>
      <c r="C31" s="110"/>
      <c r="D31" s="103"/>
      <c r="E31" s="103"/>
      <c r="F31" s="111"/>
      <c r="G31" s="111"/>
      <c r="H31" s="112"/>
      <c r="I31" s="113"/>
      <c r="J31" s="105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7"/>
      <c r="W31" s="108"/>
      <c r="X31" s="108"/>
      <c r="Y31" s="109"/>
      <c r="Z31" s="109"/>
      <c r="AA31" s="109"/>
    </row>
    <row r="32" s="33" customFormat="true" ht="15" hidden="false" customHeight="false" outlineLevel="0" collapsed="false">
      <c r="A32" s="1"/>
      <c r="B32" s="1"/>
      <c r="C32" s="110"/>
      <c r="D32" s="103"/>
      <c r="E32" s="103"/>
      <c r="F32" s="111"/>
      <c r="G32" s="111"/>
      <c r="H32" s="112"/>
      <c r="I32" s="113"/>
      <c r="J32" s="105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7"/>
      <c r="W32" s="108"/>
      <c r="X32" s="108"/>
      <c r="Y32" s="109"/>
      <c r="Z32" s="109"/>
      <c r="AA32" s="109"/>
    </row>
    <row r="33" s="33" customFormat="true" ht="15" hidden="false" customHeight="false" outlineLevel="0" collapsed="false">
      <c r="A33" s="1"/>
      <c r="B33" s="1"/>
      <c r="C33" s="110"/>
      <c r="D33" s="103"/>
      <c r="E33" s="103"/>
      <c r="F33" s="111"/>
      <c r="G33" s="111"/>
      <c r="H33" s="112"/>
      <c r="I33" s="113"/>
      <c r="J33" s="105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7"/>
      <c r="W33" s="108"/>
      <c r="X33" s="108"/>
      <c r="Y33" s="109"/>
      <c r="Z33" s="109"/>
      <c r="AA33" s="109"/>
    </row>
    <row r="34" s="33" customFormat="true" ht="15" hidden="false" customHeight="false" outlineLevel="0" collapsed="false">
      <c r="A34" s="1"/>
      <c r="B34" s="1"/>
      <c r="C34" s="110"/>
      <c r="D34" s="103"/>
      <c r="E34" s="103"/>
      <c r="F34" s="111"/>
      <c r="G34" s="105"/>
      <c r="H34" s="104"/>
      <c r="I34" s="106"/>
      <c r="J34" s="105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7"/>
      <c r="W34" s="108"/>
      <c r="X34" s="108"/>
      <c r="Y34" s="109"/>
      <c r="Z34" s="109"/>
      <c r="AA34" s="109"/>
    </row>
    <row r="35" s="33" customFormat="true" ht="15" hidden="false" customHeight="false" outlineLevel="0" collapsed="false">
      <c r="A35" s="1"/>
      <c r="B35" s="1"/>
      <c r="C35" s="110"/>
      <c r="D35" s="103"/>
      <c r="E35" s="103"/>
      <c r="F35" s="111"/>
      <c r="G35" s="111"/>
      <c r="H35" s="104"/>
      <c r="I35" s="106"/>
      <c r="J35" s="105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7"/>
      <c r="W35" s="108"/>
      <c r="X35" s="108"/>
      <c r="Y35" s="109"/>
      <c r="Z35" s="109"/>
      <c r="AA35" s="109"/>
    </row>
    <row r="36" s="33" customFormat="true" ht="15" hidden="false" customHeight="false" outlineLevel="0" collapsed="false">
      <c r="A36" s="1"/>
      <c r="B36" s="1"/>
      <c r="C36" s="110"/>
      <c r="D36" s="103"/>
      <c r="E36" s="103"/>
      <c r="F36" s="111"/>
      <c r="G36" s="111"/>
      <c r="H36" s="104"/>
      <c r="I36" s="106"/>
      <c r="J36" s="105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7"/>
      <c r="W36" s="108"/>
      <c r="X36" s="108"/>
      <c r="Y36" s="109"/>
      <c r="Z36" s="109"/>
      <c r="AA36" s="109"/>
    </row>
    <row r="37" s="33" customFormat="true" ht="15" hidden="false" customHeight="false" outlineLevel="0" collapsed="false">
      <c r="A37" s="1"/>
      <c r="B37" s="1"/>
      <c r="C37" s="110"/>
      <c r="D37" s="103"/>
      <c r="E37" s="103"/>
      <c r="F37" s="111"/>
      <c r="G37" s="111"/>
      <c r="H37" s="111"/>
      <c r="I37" s="113"/>
      <c r="J37" s="105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7"/>
      <c r="W37" s="108"/>
      <c r="X37" s="108"/>
      <c r="Y37" s="109"/>
      <c r="Z37" s="109"/>
      <c r="AA37" s="109"/>
    </row>
    <row r="38" s="33" customFormat="true" ht="15" hidden="false" customHeight="false" outlineLevel="0" collapsed="false">
      <c r="A38" s="1"/>
      <c r="B38" s="1"/>
      <c r="C38" s="110"/>
      <c r="D38" s="103"/>
      <c r="E38" s="103"/>
      <c r="F38" s="111"/>
      <c r="G38" s="111"/>
      <c r="H38" s="111"/>
      <c r="I38" s="113"/>
      <c r="J38" s="105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7"/>
      <c r="W38" s="108"/>
      <c r="X38" s="108"/>
      <c r="Y38" s="109"/>
      <c r="Z38" s="109"/>
      <c r="AA38" s="109"/>
    </row>
    <row r="39" s="33" customFormat="true" ht="15" hidden="false" customHeight="false" outlineLevel="0" collapsed="false">
      <c r="A39" s="1"/>
      <c r="B39" s="1"/>
      <c r="C39" s="110"/>
      <c r="D39" s="103"/>
      <c r="E39" s="103"/>
      <c r="F39" s="111"/>
      <c r="G39" s="111"/>
      <c r="H39" s="111"/>
      <c r="I39" s="113"/>
      <c r="J39" s="105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7"/>
      <c r="W39" s="108"/>
      <c r="X39" s="108"/>
      <c r="Y39" s="109"/>
      <c r="Z39" s="109"/>
      <c r="AA39" s="109"/>
    </row>
    <row r="40" s="33" customFormat="true" ht="15" hidden="false" customHeight="false" outlineLevel="0" collapsed="false">
      <c r="A40" s="1"/>
      <c r="B40" s="1"/>
      <c r="C40" s="110"/>
      <c r="D40" s="103"/>
      <c r="E40" s="103"/>
      <c r="F40" s="111"/>
      <c r="G40" s="111"/>
      <c r="H40" s="111"/>
      <c r="I40" s="113"/>
      <c r="J40" s="105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7"/>
      <c r="W40" s="108"/>
      <c r="X40" s="108"/>
      <c r="Y40" s="109"/>
      <c r="Z40" s="109"/>
      <c r="AA40" s="109"/>
    </row>
    <row r="41" s="33" customFormat="true" ht="15" hidden="false" customHeight="false" outlineLevel="0" collapsed="false">
      <c r="A41" s="1"/>
      <c r="B41" s="1"/>
      <c r="C41" s="110"/>
      <c r="D41" s="103"/>
      <c r="E41" s="103"/>
      <c r="F41" s="111"/>
      <c r="G41" s="111"/>
      <c r="H41" s="111"/>
      <c r="I41" s="113"/>
      <c r="J41" s="105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7"/>
      <c r="W41" s="108"/>
      <c r="X41" s="108"/>
      <c r="Y41" s="109"/>
      <c r="Z41" s="109"/>
      <c r="AA41" s="109"/>
    </row>
    <row r="42" s="33" customFormat="true" ht="15" hidden="false" customHeight="false" outlineLevel="0" collapsed="false">
      <c r="A42" s="1"/>
      <c r="B42" s="1"/>
      <c r="C42" s="110"/>
      <c r="D42" s="103"/>
      <c r="E42" s="103"/>
      <c r="F42" s="111"/>
      <c r="G42" s="111"/>
      <c r="H42" s="111"/>
      <c r="I42" s="113"/>
      <c r="J42" s="105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7"/>
      <c r="W42" s="108"/>
      <c r="X42" s="108"/>
      <c r="Y42" s="109"/>
      <c r="Z42" s="109"/>
      <c r="AA42" s="109"/>
    </row>
    <row r="43" s="33" customFormat="true" ht="15" hidden="false" customHeight="false" outlineLevel="0" collapsed="false">
      <c r="A43" s="1"/>
      <c r="B43" s="1"/>
      <c r="C43" s="110"/>
      <c r="D43" s="103"/>
      <c r="E43" s="103"/>
      <c r="F43" s="111"/>
      <c r="G43" s="111"/>
      <c r="H43" s="111"/>
      <c r="I43" s="113"/>
      <c r="J43" s="105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7"/>
      <c r="W43" s="108"/>
      <c r="X43" s="108"/>
      <c r="Y43" s="109"/>
      <c r="Z43" s="109"/>
      <c r="AA43" s="109"/>
    </row>
    <row r="44" s="33" customFormat="true" ht="15" hidden="false" customHeight="false" outlineLevel="0" collapsed="false">
      <c r="A44" s="1"/>
      <c r="B44" s="1"/>
      <c r="C44" s="110"/>
      <c r="D44" s="103"/>
      <c r="E44" s="103"/>
      <c r="F44" s="111"/>
      <c r="G44" s="111"/>
      <c r="H44" s="111"/>
      <c r="I44" s="113"/>
      <c r="J44" s="105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7"/>
      <c r="W44" s="108"/>
      <c r="X44" s="108"/>
      <c r="Y44" s="109"/>
      <c r="Z44" s="109"/>
      <c r="AA44" s="109"/>
    </row>
    <row r="45" s="33" customFormat="true" ht="15" hidden="false" customHeight="false" outlineLevel="0" collapsed="false">
      <c r="A45" s="1"/>
      <c r="B45" s="1"/>
      <c r="C45" s="110"/>
      <c r="D45" s="103"/>
      <c r="E45" s="103"/>
      <c r="F45" s="111"/>
      <c r="G45" s="111"/>
      <c r="H45" s="111"/>
      <c r="I45" s="113"/>
      <c r="J45" s="105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7"/>
      <c r="W45" s="108"/>
      <c r="X45" s="108"/>
      <c r="Y45" s="109"/>
      <c r="Z45" s="109"/>
      <c r="AA45" s="109"/>
    </row>
    <row r="46" s="33" customFormat="true" ht="15" hidden="false" customHeight="false" outlineLevel="0" collapsed="false">
      <c r="A46" s="1"/>
      <c r="B46" s="1"/>
      <c r="C46" s="110"/>
      <c r="D46" s="103"/>
      <c r="E46" s="103"/>
      <c r="F46" s="111"/>
      <c r="G46" s="111"/>
      <c r="H46" s="111"/>
      <c r="I46" s="113"/>
      <c r="J46" s="105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7"/>
      <c r="W46" s="108"/>
      <c r="X46" s="108"/>
      <c r="Y46" s="109"/>
      <c r="Z46" s="109"/>
      <c r="AA46" s="109"/>
    </row>
    <row r="47" s="33" customFormat="true" ht="15" hidden="false" customHeight="false" outlineLevel="0" collapsed="false">
      <c r="A47" s="57"/>
      <c r="B47" s="1"/>
      <c r="C47" s="110"/>
      <c r="D47" s="103"/>
      <c r="E47" s="103"/>
      <c r="F47" s="111"/>
      <c r="G47" s="111"/>
      <c r="H47" s="111"/>
      <c r="I47" s="113"/>
      <c r="J47" s="105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7"/>
      <c r="W47" s="108"/>
      <c r="X47" s="108"/>
      <c r="Y47" s="109"/>
      <c r="Z47" s="109"/>
      <c r="AA47" s="109"/>
    </row>
    <row r="48" s="33" customFormat="true" ht="15" hidden="false" customHeight="false" outlineLevel="0" collapsed="false">
      <c r="A48" s="1"/>
      <c r="B48" s="1"/>
      <c r="C48" s="110"/>
      <c r="D48" s="103"/>
      <c r="E48" s="103"/>
      <c r="F48" s="111"/>
      <c r="G48" s="111"/>
      <c r="H48" s="112"/>
      <c r="I48" s="113"/>
      <c r="J48" s="105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7"/>
      <c r="W48" s="108"/>
      <c r="X48" s="108"/>
      <c r="Y48" s="109"/>
      <c r="Z48" s="109"/>
      <c r="AA48" s="109"/>
    </row>
    <row r="49" customFormat="false" ht="15" hidden="false" customHeight="false" outlineLevel="0" collapsed="false">
      <c r="C49" s="110"/>
      <c r="D49" s="103"/>
      <c r="E49" s="103"/>
      <c r="F49" s="103"/>
      <c r="G49" s="111"/>
      <c r="H49" s="111"/>
      <c r="I49" s="113"/>
      <c r="J49" s="105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7"/>
      <c r="W49" s="108"/>
      <c r="X49" s="108"/>
      <c r="Y49" s="109"/>
      <c r="Z49" s="109"/>
      <c r="AA49" s="109"/>
      <c r="AB49" s="33"/>
      <c r="AC49" s="33"/>
      <c r="AD49" s="33"/>
    </row>
    <row r="50" customFormat="false" ht="15" hidden="false" customHeight="false" outlineLevel="0" collapsed="false">
      <c r="C50" s="110"/>
      <c r="D50" s="103"/>
      <c r="E50" s="103"/>
      <c r="F50" s="103"/>
      <c r="G50" s="111"/>
      <c r="H50" s="114"/>
      <c r="I50" s="115"/>
      <c r="J50" s="115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16"/>
      <c r="W50" s="108"/>
      <c r="X50" s="108"/>
      <c r="Y50" s="109"/>
      <c r="Z50" s="109"/>
      <c r="AA50" s="109"/>
      <c r="AB50" s="33"/>
      <c r="AC50" s="33"/>
      <c r="AD50" s="33"/>
    </row>
    <row r="51" customFormat="false" ht="15" hidden="false" customHeight="false" outlineLevel="0" collapsed="false">
      <c r="G51" s="117"/>
      <c r="H51" s="117"/>
      <c r="I51" s="118"/>
      <c r="J51" s="119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W51" s="108"/>
      <c r="X51" s="108"/>
    </row>
    <row r="52" customFormat="false" ht="15" hidden="false" customHeight="false" outlineLevel="0" collapsed="false">
      <c r="G52" s="117"/>
      <c r="H52" s="117"/>
      <c r="I52" s="118"/>
      <c r="J52" s="119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W52" s="108"/>
      <c r="X52" s="108"/>
    </row>
    <row r="53" s="125" customFormat="true" ht="15" hidden="false" customHeight="false" outlineLevel="0" collapsed="false">
      <c r="A53" s="1"/>
      <c r="B53" s="1"/>
      <c r="C53" s="120"/>
      <c r="D53" s="121"/>
      <c r="E53" s="121"/>
      <c r="F53" s="121"/>
      <c r="G53" s="121"/>
      <c r="H53" s="121"/>
      <c r="I53" s="122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67"/>
      <c r="W53" s="123"/>
      <c r="X53" s="123"/>
      <c r="Y53" s="124"/>
      <c r="Z53" s="124"/>
      <c r="AA53" s="124"/>
    </row>
    <row r="54" s="67" customFormat="true" ht="15" hidden="false" customHeight="false" outlineLevel="0" collapsed="false">
      <c r="A54" s="1"/>
      <c r="B54" s="1"/>
      <c r="C54" s="64"/>
      <c r="D54" s="65"/>
      <c r="E54" s="65"/>
      <c r="F54" s="65"/>
      <c r="G54" s="65"/>
      <c r="H54" s="65"/>
      <c r="I54" s="126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Y54" s="66"/>
      <c r="Z54" s="66"/>
      <c r="AA54" s="66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</row>
  </sheetData>
  <mergeCells count="19">
    <mergeCell ref="A2:A7"/>
    <mergeCell ref="B2:B7"/>
    <mergeCell ref="C2:C7"/>
    <mergeCell ref="D2:D7"/>
    <mergeCell ref="E2:E7"/>
    <mergeCell ref="F2:F7"/>
    <mergeCell ref="G2:J7"/>
    <mergeCell ref="K2:L2"/>
    <mergeCell ref="M2:P2"/>
    <mergeCell ref="R2:S2"/>
    <mergeCell ref="T2:U2"/>
    <mergeCell ref="V2:V4"/>
    <mergeCell ref="W2:W4"/>
    <mergeCell ref="X2:X5"/>
    <mergeCell ref="Y2:AA3"/>
    <mergeCell ref="Y4:AA4"/>
    <mergeCell ref="M5:P5"/>
    <mergeCell ref="R5:S5"/>
    <mergeCell ref="T5:U5"/>
  </mergeCells>
  <conditionalFormatting sqref="W17:X21">
    <cfRule type="containsText" priority="2" operator="containsText" aboveAverage="0" equalAverage="0" bottom="0" percent="0" rank="0" text="No" dxfId="20">
      <formula>NOT(ISERROR(SEARCH("No",W17)))</formula>
    </cfRule>
    <cfRule type="containsText" priority="3" operator="containsText" aboveAverage="0" equalAverage="0" bottom="0" percent="0" rank="0" text="Yes" dxfId="21">
      <formula>NOT(ISERROR(SEARCH("Yes",W17)))</formula>
    </cfRule>
  </conditionalFormatting>
  <conditionalFormatting sqref="W31:X33">
    <cfRule type="containsText" priority="4" operator="containsText" aboveAverage="0" equalAverage="0" bottom="0" percent="0" rank="0" text="No" dxfId="22">
      <formula>NOT(ISERROR(SEARCH("No",W31)))</formula>
    </cfRule>
    <cfRule type="containsText" priority="5" operator="containsText" aboveAverage="0" equalAverage="0" bottom="0" percent="0" rank="0" text="Yes" dxfId="23">
      <formula>NOT(ISERROR(SEARCH("Yes",W31)))</formula>
    </cfRule>
  </conditionalFormatting>
  <conditionalFormatting sqref="W10:X16 W22:X23">
    <cfRule type="containsText" priority="6" operator="containsText" aboveAverage="0" equalAverage="0" bottom="0" percent="0" rank="0" text="No" dxfId="24">
      <formula>NOT(ISERROR(SEARCH("No",W10)))</formula>
    </cfRule>
    <cfRule type="containsText" priority="7" operator="containsText" aboveAverage="0" equalAverage="0" bottom="0" percent="0" rank="0" text="Yes" dxfId="25">
      <formula>NOT(ISERROR(SEARCH("Yes",W10)))</formula>
    </cfRule>
  </conditionalFormatting>
  <conditionalFormatting sqref="W34:X34">
    <cfRule type="containsText" priority="8" operator="containsText" aboveAverage="0" equalAverage="0" bottom="0" percent="0" rank="0" text="No" dxfId="26">
      <formula>NOT(ISERROR(SEARCH("No",W34)))</formula>
    </cfRule>
    <cfRule type="containsText" priority="9" operator="containsText" aboveAverage="0" equalAverage="0" bottom="0" percent="0" rank="0" text="Yes" dxfId="27">
      <formula>NOT(ISERROR(SEARCH("Yes",W34)))</formula>
    </cfRule>
  </conditionalFormatting>
  <conditionalFormatting sqref="W9:X9 W24:X30 W35:X1048576">
    <cfRule type="containsText" priority="10" operator="containsText" aboveAverage="0" equalAverage="0" bottom="0" percent="0" rank="0" text="No" dxfId="28">
      <formula>NOT(ISERROR(SEARCH("No",W9)))</formula>
    </cfRule>
    <cfRule type="containsText" priority="11" operator="containsText" aboveAverage="0" equalAverage="0" bottom="0" percent="0" rank="0" text="Yes" dxfId="29">
      <formula>NOT(ISERROR(SEARCH("Yes",W9)))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H1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34" width="20.14"/>
    <col collapsed="false" customWidth="true" hidden="false" outlineLevel="0" max="2" min="2" style="127" width="13.57"/>
    <col collapsed="false" customWidth="true" hidden="false" outlineLevel="0" max="3" min="3" style="34" width="6.29"/>
    <col collapsed="false" customWidth="true" hidden="false" outlineLevel="0" max="4" min="4" style="128" width="10.57"/>
    <col collapsed="false" customWidth="true" hidden="false" outlineLevel="0" max="5" min="5" style="34" width="6.71"/>
    <col collapsed="false" customWidth="true" hidden="false" outlineLevel="0" max="6" min="6" style="34" width="13.57"/>
    <col collapsed="false" customWidth="true" hidden="false" outlineLevel="0" max="7" min="7" style="34" width="9.57"/>
    <col collapsed="false" customWidth="true" hidden="false" outlineLevel="0" max="8" min="8" style="34" width="14.57"/>
    <col collapsed="false" customWidth="true" hidden="false" outlineLevel="0" max="9" min="9" style="34" width="8.15"/>
    <col collapsed="false" customWidth="true" hidden="false" outlineLevel="0" max="10" min="10" style="34" width="11.71"/>
    <col collapsed="false" customWidth="true" hidden="false" outlineLevel="0" max="11" min="11" style="34" width="10.42"/>
    <col collapsed="false" customWidth="true" hidden="false" outlineLevel="0" max="12" min="12" style="34" width="15.85"/>
    <col collapsed="false" customWidth="false" hidden="false" outlineLevel="0" max="16384" min="13" style="34" width="9.14"/>
  </cols>
  <sheetData>
    <row r="1" customFormat="false" ht="15" hidden="false" customHeight="false" outlineLevel="0" collapsed="false">
      <c r="A1" s="129" t="s">
        <v>0</v>
      </c>
      <c r="B1" s="129"/>
      <c r="C1" s="129"/>
      <c r="D1" s="129"/>
      <c r="E1" s="130"/>
      <c r="F1" s="130"/>
      <c r="G1" s="130"/>
      <c r="H1" s="130"/>
      <c r="I1" s="130"/>
      <c r="J1" s="130"/>
      <c r="K1" s="130" t="s">
        <v>1</v>
      </c>
      <c r="L1" s="130"/>
    </row>
    <row r="2" customFormat="false" ht="15" hidden="false" customHeight="false" outlineLevel="0" collapsed="false">
      <c r="A2" s="129" t="s">
        <v>2</v>
      </c>
      <c r="B2" s="129"/>
      <c r="C2" s="129"/>
      <c r="D2" s="129"/>
      <c r="E2" s="130"/>
      <c r="F2" s="130"/>
      <c r="G2" s="130"/>
      <c r="H2" s="130"/>
      <c r="I2" s="130"/>
      <c r="J2" s="130"/>
      <c r="K2" s="130" t="s">
        <v>3</v>
      </c>
      <c r="L2" s="130"/>
    </row>
    <row r="3" customFormat="false" ht="15" hidden="false" customHeight="false" outlineLevel="0" collapsed="false">
      <c r="A3" s="129" t="s">
        <v>4</v>
      </c>
      <c r="B3" s="129"/>
      <c r="C3" s="129"/>
      <c r="D3" s="129"/>
      <c r="E3" s="130"/>
      <c r="F3" s="130"/>
      <c r="G3" s="130"/>
      <c r="H3" s="130"/>
      <c r="I3" s="130"/>
      <c r="J3" s="130"/>
      <c r="K3" s="130" t="s">
        <v>5</v>
      </c>
      <c r="L3" s="130"/>
    </row>
    <row r="4" customFormat="false" ht="15" hidden="false" customHeight="false" outlineLevel="0" collapsed="false">
      <c r="A4" s="129" t="s">
        <v>6</v>
      </c>
      <c r="B4" s="129"/>
      <c r="C4" s="129"/>
      <c r="D4" s="129"/>
      <c r="E4" s="130"/>
      <c r="F4" s="130"/>
      <c r="G4" s="130"/>
      <c r="H4" s="130"/>
      <c r="I4" s="130"/>
      <c r="J4" s="130"/>
      <c r="K4" s="131" t="s">
        <v>7</v>
      </c>
      <c r="L4" s="131"/>
    </row>
    <row r="5" customFormat="false" ht="15" hidden="false" customHeight="false" outlineLevel="0" collapsed="false">
      <c r="A5" s="129" t="s">
        <v>8</v>
      </c>
      <c r="B5" s="129"/>
      <c r="C5" s="129"/>
      <c r="D5" s="129"/>
      <c r="E5" s="132"/>
      <c r="F5" s="132"/>
      <c r="G5" s="132"/>
      <c r="H5" s="132"/>
      <c r="I5" s="132"/>
      <c r="J5" s="132"/>
      <c r="K5" s="130"/>
      <c r="L5" s="130"/>
    </row>
    <row r="6" customFormat="false" ht="15" hidden="false" customHeight="false" outlineLevel="0" collapsed="false">
      <c r="A6" s="129" t="s">
        <v>9</v>
      </c>
      <c r="B6" s="129"/>
      <c r="C6" s="129"/>
      <c r="D6" s="129"/>
      <c r="E6" s="132"/>
      <c r="F6" s="132"/>
      <c r="G6" s="132"/>
      <c r="H6" s="132"/>
      <c r="I6" s="132"/>
      <c r="J6" s="132"/>
      <c r="K6" s="130"/>
      <c r="L6" s="130"/>
    </row>
    <row r="7" customFormat="false" ht="15" hidden="false" customHeight="false" outlineLevel="0" collapsed="false">
      <c r="A7" s="133" t="s">
        <v>10</v>
      </c>
      <c r="B7" s="133" t="s">
        <v>11</v>
      </c>
      <c r="C7" s="133" t="s">
        <v>12</v>
      </c>
      <c r="D7" s="134" t="s">
        <v>13</v>
      </c>
      <c r="E7" s="135" t="s">
        <v>14</v>
      </c>
      <c r="F7" s="135" t="s">
        <v>15</v>
      </c>
      <c r="G7" s="135" t="s">
        <v>14</v>
      </c>
      <c r="H7" s="135" t="s">
        <v>15</v>
      </c>
      <c r="I7" s="135" t="s">
        <v>14</v>
      </c>
      <c r="J7" s="135" t="s">
        <v>15</v>
      </c>
      <c r="K7" s="135" t="s">
        <v>16</v>
      </c>
      <c r="L7" s="135" t="s">
        <v>15</v>
      </c>
    </row>
    <row r="8" s="141" customFormat="true" ht="15" hidden="false" customHeight="true" outlineLevel="0" collapsed="false">
      <c r="A8" s="136" t="s">
        <v>17</v>
      </c>
      <c r="B8" s="137" t="s">
        <v>18</v>
      </c>
      <c r="C8" s="138" t="s">
        <v>19</v>
      </c>
      <c r="D8" s="139" t="n">
        <v>0.57</v>
      </c>
      <c r="E8" s="65"/>
      <c r="F8" s="140" t="n">
        <f aca="false">$D8*E8</f>
        <v>0</v>
      </c>
      <c r="G8" s="65"/>
      <c r="H8" s="140" t="n">
        <f aca="false">$D8*G8</f>
        <v>0</v>
      </c>
      <c r="I8" s="65"/>
      <c r="J8" s="140" t="n">
        <f aca="false">$D8*I8</f>
        <v>0</v>
      </c>
      <c r="K8" s="66" t="n">
        <f aca="false">SUM(E8,G8,I8)</f>
        <v>0</v>
      </c>
      <c r="L8" s="140" t="n">
        <f aca="false">$D8*K8</f>
        <v>0</v>
      </c>
    </row>
    <row r="9" customFormat="false" ht="15" hidden="false" customHeight="false" outlineLevel="0" collapsed="false">
      <c r="A9" s="136"/>
      <c r="B9" s="137"/>
      <c r="C9" s="142" t="s">
        <v>20</v>
      </c>
      <c r="D9" s="139" t="n">
        <v>1.15</v>
      </c>
      <c r="E9" s="65"/>
      <c r="F9" s="140" t="n">
        <f aca="false">$D9*E9</f>
        <v>0</v>
      </c>
      <c r="G9" s="65"/>
      <c r="H9" s="140" t="n">
        <f aca="false">$D9*G9</f>
        <v>0</v>
      </c>
      <c r="I9" s="65"/>
      <c r="J9" s="140" t="n">
        <f aca="false">$D9*I9</f>
        <v>0</v>
      </c>
      <c r="K9" s="66" t="n">
        <f aca="false">SUM(E9,G9,I9)</f>
        <v>0</v>
      </c>
      <c r="L9" s="140" t="n">
        <f aca="false">$D9*K9</f>
        <v>0</v>
      </c>
    </row>
    <row r="10" customFormat="false" ht="15" hidden="false" customHeight="false" outlineLevel="0" collapsed="false">
      <c r="A10" s="136"/>
      <c r="B10" s="137"/>
      <c r="C10" s="142" t="s">
        <v>21</v>
      </c>
      <c r="D10" s="139" t="n">
        <v>2.3</v>
      </c>
      <c r="E10" s="65"/>
      <c r="F10" s="140" t="n">
        <f aca="false">$D10*E10</f>
        <v>0</v>
      </c>
      <c r="G10" s="65"/>
      <c r="H10" s="140" t="n">
        <f aca="false">$D10*G10</f>
        <v>0</v>
      </c>
      <c r="I10" s="65"/>
      <c r="J10" s="140" t="n">
        <f aca="false">$D10*I10</f>
        <v>0</v>
      </c>
      <c r="K10" s="66" t="n">
        <f aca="false">SUM(E10,G10,I10)</f>
        <v>0</v>
      </c>
      <c r="L10" s="140" t="n">
        <f aca="false">$D10*K10</f>
        <v>0</v>
      </c>
    </row>
    <row r="11" customFormat="false" ht="15" hidden="false" customHeight="false" outlineLevel="0" collapsed="false">
      <c r="A11" s="136"/>
      <c r="B11" s="137"/>
      <c r="C11" s="142" t="s">
        <v>22</v>
      </c>
      <c r="D11" s="139" t="n">
        <v>33.35</v>
      </c>
      <c r="E11" s="64"/>
      <c r="F11" s="140" t="n">
        <f aca="false">$D11*E11</f>
        <v>0</v>
      </c>
      <c r="G11" s="65"/>
      <c r="H11" s="140" t="n">
        <f aca="false">$D11*G11</f>
        <v>0</v>
      </c>
      <c r="I11" s="65"/>
      <c r="J11" s="140" t="n">
        <f aca="false">$D11*I11</f>
        <v>0</v>
      </c>
      <c r="K11" s="66" t="n">
        <f aca="false">SUM(E11,G11,I11)</f>
        <v>0</v>
      </c>
      <c r="L11" s="140" t="n">
        <f aca="false">$D11*K11</f>
        <v>0</v>
      </c>
    </row>
    <row r="12" customFormat="false" ht="15" hidden="false" customHeight="false" outlineLevel="0" collapsed="false">
      <c r="A12" s="136"/>
      <c r="B12" s="137"/>
      <c r="C12" s="142" t="s">
        <v>23</v>
      </c>
      <c r="D12" s="139" t="n">
        <v>44.85</v>
      </c>
      <c r="E12" s="65"/>
      <c r="F12" s="140" t="n">
        <f aca="false">$D12*E12</f>
        <v>0</v>
      </c>
      <c r="G12" s="65"/>
      <c r="H12" s="140" t="n">
        <f aca="false">$D12*G12</f>
        <v>0</v>
      </c>
      <c r="I12" s="65"/>
      <c r="J12" s="140" t="n">
        <f aca="false">$D12*I12</f>
        <v>0</v>
      </c>
      <c r="K12" s="66" t="n">
        <f aca="false">SUM(E12,G12,I12)</f>
        <v>0</v>
      </c>
      <c r="L12" s="140" t="n">
        <f aca="false">$D12*K12</f>
        <v>0</v>
      </c>
    </row>
    <row r="13" customFormat="false" ht="15" hidden="false" customHeight="true" outlineLevel="0" collapsed="false">
      <c r="A13" s="136"/>
      <c r="B13" s="137" t="s">
        <v>24</v>
      </c>
      <c r="C13" s="138" t="s">
        <v>19</v>
      </c>
      <c r="D13" s="139" t="n">
        <v>2.5</v>
      </c>
      <c r="E13" s="65"/>
      <c r="F13" s="140" t="n">
        <f aca="false">$D13*E13</f>
        <v>0</v>
      </c>
      <c r="G13" s="65"/>
      <c r="H13" s="140" t="n">
        <f aca="false">$D13*G13</f>
        <v>0</v>
      </c>
      <c r="I13" s="65"/>
      <c r="J13" s="140" t="n">
        <f aca="false">$D13*I13</f>
        <v>0</v>
      </c>
      <c r="K13" s="66" t="n">
        <f aca="false">SUM(E13,G13,I13)</f>
        <v>0</v>
      </c>
      <c r="L13" s="140" t="n">
        <f aca="false">$D13*K13</f>
        <v>0</v>
      </c>
    </row>
    <row r="14" customFormat="false" ht="15" hidden="false" customHeight="false" outlineLevel="0" collapsed="false">
      <c r="A14" s="136"/>
      <c r="B14" s="137"/>
      <c r="C14" s="142" t="s">
        <v>20</v>
      </c>
      <c r="D14" s="139" t="n">
        <v>5</v>
      </c>
      <c r="E14" s="65"/>
      <c r="F14" s="140" t="n">
        <f aca="false">$D14*E14</f>
        <v>0</v>
      </c>
      <c r="G14" s="65"/>
      <c r="H14" s="140" t="n">
        <f aca="false">$D14*G14</f>
        <v>0</v>
      </c>
      <c r="I14" s="65"/>
      <c r="J14" s="140" t="n">
        <f aca="false">$D14*I14</f>
        <v>0</v>
      </c>
      <c r="K14" s="66" t="n">
        <f aca="false">SUM(E14,G14,I14)</f>
        <v>0</v>
      </c>
      <c r="L14" s="140" t="n">
        <f aca="false">$D14*K14</f>
        <v>0</v>
      </c>
    </row>
    <row r="15" customFormat="false" ht="15" hidden="false" customHeight="false" outlineLevel="0" collapsed="false">
      <c r="A15" s="136"/>
      <c r="B15" s="137"/>
      <c r="C15" s="142" t="s">
        <v>21</v>
      </c>
      <c r="D15" s="139" t="n">
        <v>10</v>
      </c>
      <c r="E15" s="65"/>
      <c r="F15" s="140" t="n">
        <f aca="false">$D15*E15</f>
        <v>0</v>
      </c>
      <c r="G15" s="65"/>
      <c r="H15" s="140" t="n">
        <f aca="false">$D15*G15</f>
        <v>0</v>
      </c>
      <c r="I15" s="65"/>
      <c r="J15" s="140" t="n">
        <f aca="false">$D15*I15</f>
        <v>0</v>
      </c>
      <c r="K15" s="66" t="n">
        <f aca="false">SUM(E15,G15,I15)</f>
        <v>0</v>
      </c>
      <c r="L15" s="140" t="n">
        <f aca="false">$D15*K15</f>
        <v>0</v>
      </c>
    </row>
    <row r="16" customFormat="false" ht="15" hidden="false" customHeight="false" outlineLevel="0" collapsed="false">
      <c r="A16" s="136"/>
      <c r="B16" s="137"/>
      <c r="C16" s="142" t="s">
        <v>22</v>
      </c>
      <c r="D16" s="139" t="n">
        <v>55</v>
      </c>
      <c r="E16" s="65"/>
      <c r="F16" s="140" t="n">
        <f aca="false">$D16*E16</f>
        <v>0</v>
      </c>
      <c r="G16" s="65"/>
      <c r="H16" s="140" t="n">
        <f aca="false">$D16*G16</f>
        <v>0</v>
      </c>
      <c r="I16" s="65"/>
      <c r="J16" s="140" t="n">
        <f aca="false">$D16*I16</f>
        <v>0</v>
      </c>
      <c r="K16" s="66" t="n">
        <f aca="false">SUM(E16,G16,I16)</f>
        <v>0</v>
      </c>
      <c r="L16" s="140" t="n">
        <f aca="false">$D16*K16</f>
        <v>0</v>
      </c>
    </row>
    <row r="17" customFormat="false" ht="15" hidden="false" customHeight="false" outlineLevel="0" collapsed="false">
      <c r="A17" s="136"/>
      <c r="B17" s="137"/>
      <c r="C17" s="142" t="s">
        <v>23</v>
      </c>
      <c r="D17" s="139" t="n">
        <v>78.2</v>
      </c>
      <c r="E17" s="65"/>
      <c r="F17" s="140" t="n">
        <f aca="false">$D17*E17</f>
        <v>0</v>
      </c>
      <c r="G17" s="65"/>
      <c r="H17" s="140" t="n">
        <f aca="false">$D17*G17</f>
        <v>0</v>
      </c>
      <c r="I17" s="65"/>
      <c r="J17" s="140" t="n">
        <f aca="false">$D17*I17</f>
        <v>0</v>
      </c>
      <c r="K17" s="66" t="n">
        <f aca="false">SUM(E17,G17,I17)</f>
        <v>0</v>
      </c>
      <c r="L17" s="140" t="n">
        <f aca="false">$D17*K17</f>
        <v>0</v>
      </c>
    </row>
    <row r="18" customFormat="false" ht="15" hidden="false" customHeight="true" outlineLevel="0" collapsed="false">
      <c r="A18" s="136" t="s">
        <v>25</v>
      </c>
      <c r="B18" s="137" t="s">
        <v>18</v>
      </c>
      <c r="C18" s="138" t="s">
        <v>19</v>
      </c>
      <c r="D18" s="139" t="n">
        <v>0.72</v>
      </c>
      <c r="E18" s="65"/>
      <c r="F18" s="140" t="n">
        <f aca="false">$D18*E18</f>
        <v>0</v>
      </c>
      <c r="G18" s="65"/>
      <c r="H18" s="140" t="n">
        <f aca="false">$D18*G18</f>
        <v>0</v>
      </c>
      <c r="I18" s="65"/>
      <c r="J18" s="140" t="n">
        <f aca="false">$D18*I18</f>
        <v>0</v>
      </c>
      <c r="K18" s="66" t="n">
        <f aca="false">SUM(E18,G18,I18)</f>
        <v>0</v>
      </c>
      <c r="L18" s="140" t="n">
        <f aca="false">$D18*K18</f>
        <v>0</v>
      </c>
    </row>
    <row r="19" customFormat="false" ht="15" hidden="false" customHeight="false" outlineLevel="0" collapsed="false">
      <c r="A19" s="136"/>
      <c r="B19" s="137"/>
      <c r="C19" s="142" t="s">
        <v>20</v>
      </c>
      <c r="D19" s="139" t="n">
        <v>1.44</v>
      </c>
      <c r="E19" s="65"/>
      <c r="F19" s="140" t="n">
        <f aca="false">$D19*E19</f>
        <v>0</v>
      </c>
      <c r="G19" s="65"/>
      <c r="H19" s="140" t="n">
        <f aca="false">$D19*G19</f>
        <v>0</v>
      </c>
      <c r="I19" s="65"/>
      <c r="J19" s="140" t="n">
        <f aca="false">$D19*I19</f>
        <v>0</v>
      </c>
      <c r="K19" s="66" t="n">
        <f aca="false">SUM(E19,G19,I19)</f>
        <v>0</v>
      </c>
      <c r="L19" s="140" t="n">
        <f aca="false">$D19*K19</f>
        <v>0</v>
      </c>
    </row>
    <row r="20" customFormat="false" ht="15" hidden="false" customHeight="false" outlineLevel="0" collapsed="false">
      <c r="A20" s="136"/>
      <c r="B20" s="137"/>
      <c r="C20" s="142" t="s">
        <v>21</v>
      </c>
      <c r="D20" s="139" t="n">
        <v>2.75</v>
      </c>
      <c r="E20" s="65"/>
      <c r="F20" s="140" t="n">
        <f aca="false">$D20*E20</f>
        <v>0</v>
      </c>
      <c r="G20" s="65"/>
      <c r="H20" s="140" t="n">
        <f aca="false">$D20*G20</f>
        <v>0</v>
      </c>
      <c r="I20" s="65"/>
      <c r="J20" s="140" t="n">
        <f aca="false">$D20*I20</f>
        <v>0</v>
      </c>
      <c r="K20" s="66" t="n">
        <f aca="false">SUM(E20,G20,I20)</f>
        <v>0</v>
      </c>
      <c r="L20" s="140" t="n">
        <f aca="false">$D20*K20</f>
        <v>0</v>
      </c>
    </row>
    <row r="21" customFormat="false" ht="15" hidden="false" customHeight="false" outlineLevel="0" collapsed="false">
      <c r="A21" s="136"/>
      <c r="B21" s="137"/>
      <c r="C21" s="142" t="s">
        <v>22</v>
      </c>
      <c r="D21" s="139" t="n">
        <v>43.7</v>
      </c>
      <c r="E21" s="65"/>
      <c r="F21" s="140" t="n">
        <f aca="false">$D21*E21</f>
        <v>0</v>
      </c>
      <c r="G21" s="65"/>
      <c r="H21" s="140" t="n">
        <f aca="false">$D21*G21</f>
        <v>0</v>
      </c>
      <c r="I21" s="65"/>
      <c r="J21" s="140" t="n">
        <f aca="false">$D21*I21</f>
        <v>0</v>
      </c>
      <c r="K21" s="66" t="n">
        <f aca="false">SUM(E21,G21,I21)</f>
        <v>0</v>
      </c>
      <c r="L21" s="140" t="n">
        <f aca="false">$D21*K21</f>
        <v>0</v>
      </c>
    </row>
    <row r="22" customFormat="false" ht="15" hidden="false" customHeight="false" outlineLevel="0" collapsed="false">
      <c r="A22" s="136"/>
      <c r="B22" s="137"/>
      <c r="C22" s="142" t="s">
        <v>23</v>
      </c>
      <c r="D22" s="139" t="n">
        <v>66.7</v>
      </c>
      <c r="E22" s="65"/>
      <c r="F22" s="140" t="n">
        <f aca="false">$D22*E22</f>
        <v>0</v>
      </c>
      <c r="G22" s="65"/>
      <c r="H22" s="140" t="n">
        <f aca="false">$D22*G22</f>
        <v>0</v>
      </c>
      <c r="I22" s="65"/>
      <c r="J22" s="140" t="n">
        <f aca="false">$D22*I22</f>
        <v>0</v>
      </c>
      <c r="K22" s="66" t="n">
        <f aca="false">SUM(E22,G22,I22)</f>
        <v>0</v>
      </c>
      <c r="L22" s="140" t="n">
        <f aca="false">$D22*K22</f>
        <v>0</v>
      </c>
    </row>
    <row r="23" customFormat="false" ht="15" hidden="false" customHeight="true" outlineLevel="0" collapsed="false">
      <c r="A23" s="136"/>
      <c r="B23" s="137" t="s">
        <v>24</v>
      </c>
      <c r="C23" s="138" t="s">
        <v>19</v>
      </c>
      <c r="D23" s="139" t="n">
        <v>2.73</v>
      </c>
      <c r="E23" s="65"/>
      <c r="F23" s="140" t="n">
        <f aca="false">$D23*E23</f>
        <v>0</v>
      </c>
      <c r="G23" s="65"/>
      <c r="H23" s="140" t="n">
        <f aca="false">$D23*G23</f>
        <v>0</v>
      </c>
      <c r="I23" s="65"/>
      <c r="J23" s="140" t="n">
        <f aca="false">$D23*I23</f>
        <v>0</v>
      </c>
      <c r="K23" s="66" t="n">
        <f aca="false">SUM(E23,G23,I23)</f>
        <v>0</v>
      </c>
      <c r="L23" s="140" t="n">
        <f aca="false">$D23*K23</f>
        <v>0</v>
      </c>
    </row>
    <row r="24" customFormat="false" ht="15" hidden="false" customHeight="false" outlineLevel="0" collapsed="false">
      <c r="A24" s="136"/>
      <c r="B24" s="137"/>
      <c r="C24" s="142" t="s">
        <v>20</v>
      </c>
      <c r="D24" s="139" t="n">
        <v>5.46</v>
      </c>
      <c r="E24" s="65"/>
      <c r="F24" s="140" t="n">
        <f aca="false">$D24*E24</f>
        <v>0</v>
      </c>
      <c r="G24" s="65"/>
      <c r="H24" s="140" t="n">
        <f aca="false">$D24*G24</f>
        <v>0</v>
      </c>
      <c r="I24" s="65"/>
      <c r="J24" s="140" t="n">
        <f aca="false">$D24*I24</f>
        <v>0</v>
      </c>
      <c r="K24" s="66" t="n">
        <f aca="false">SUM(E24,G24,I24)</f>
        <v>0</v>
      </c>
      <c r="L24" s="140" t="n">
        <f aca="false">$D24*K24</f>
        <v>0</v>
      </c>
    </row>
    <row r="25" customFormat="false" ht="15" hidden="false" customHeight="false" outlineLevel="0" collapsed="false">
      <c r="A25" s="136"/>
      <c r="B25" s="137"/>
      <c r="C25" s="142" t="s">
        <v>21</v>
      </c>
      <c r="D25" s="139" t="n">
        <v>10.93</v>
      </c>
      <c r="E25" s="65"/>
      <c r="F25" s="140" t="n">
        <f aca="false">$D25*E25</f>
        <v>0</v>
      </c>
      <c r="G25" s="65"/>
      <c r="H25" s="140" t="n">
        <f aca="false">$D25*G25</f>
        <v>0</v>
      </c>
      <c r="I25" s="65"/>
      <c r="J25" s="140" t="n">
        <f aca="false">$D25*I25</f>
        <v>0</v>
      </c>
      <c r="K25" s="66" t="n">
        <f aca="false">SUM(E25,G25,I25)</f>
        <v>0</v>
      </c>
      <c r="L25" s="140" t="n">
        <f aca="false">$D25*K25</f>
        <v>0</v>
      </c>
    </row>
    <row r="26" customFormat="false" ht="15" hidden="false" customHeight="false" outlineLevel="0" collapsed="false">
      <c r="A26" s="136"/>
      <c r="B26" s="137"/>
      <c r="C26" s="142" t="s">
        <v>22</v>
      </c>
      <c r="D26" s="139" t="n">
        <v>65</v>
      </c>
      <c r="E26" s="65"/>
      <c r="F26" s="140" t="n">
        <f aca="false">$D26*E26</f>
        <v>0</v>
      </c>
      <c r="G26" s="65"/>
      <c r="H26" s="140" t="n">
        <f aca="false">$D26*G26</f>
        <v>0</v>
      </c>
      <c r="I26" s="65"/>
      <c r="J26" s="140" t="n">
        <f aca="false">$D26*I26</f>
        <v>0</v>
      </c>
      <c r="K26" s="66" t="n">
        <f aca="false">SUM(E26,G26,I26)</f>
        <v>0</v>
      </c>
      <c r="L26" s="140" t="n">
        <f aca="false">$D26*K26</f>
        <v>0</v>
      </c>
    </row>
    <row r="27" customFormat="false" ht="15" hidden="false" customHeight="false" outlineLevel="0" collapsed="false">
      <c r="A27" s="136"/>
      <c r="B27" s="137"/>
      <c r="C27" s="142" t="s">
        <v>23</v>
      </c>
      <c r="D27" s="139" t="n">
        <v>100</v>
      </c>
      <c r="E27" s="65"/>
      <c r="F27" s="140" t="n">
        <f aca="false">$D27*E27</f>
        <v>0</v>
      </c>
      <c r="G27" s="65"/>
      <c r="H27" s="140" t="n">
        <f aca="false">$D27*G27</f>
        <v>0</v>
      </c>
      <c r="I27" s="65"/>
      <c r="J27" s="140" t="n">
        <f aca="false">$D27*I27</f>
        <v>0</v>
      </c>
      <c r="K27" s="66" t="n">
        <f aca="false">SUM(E27,G27,I27)</f>
        <v>0</v>
      </c>
      <c r="L27" s="140" t="n">
        <f aca="false">$D27*K27</f>
        <v>0</v>
      </c>
    </row>
    <row r="28" customFormat="false" ht="15" hidden="false" customHeight="true" outlineLevel="0" collapsed="false">
      <c r="A28" s="136" t="s">
        <v>26</v>
      </c>
      <c r="B28" s="137" t="s">
        <v>27</v>
      </c>
      <c r="C28" s="142" t="s">
        <v>20</v>
      </c>
      <c r="D28" s="139" t="n">
        <v>2.99</v>
      </c>
      <c r="E28" s="65"/>
      <c r="F28" s="140" t="n">
        <f aca="false">$D28*E28</f>
        <v>0</v>
      </c>
      <c r="G28" s="65"/>
      <c r="H28" s="140" t="n">
        <f aca="false">$D28*G28</f>
        <v>0</v>
      </c>
      <c r="I28" s="65"/>
      <c r="J28" s="140" t="n">
        <f aca="false">$D28*I28</f>
        <v>0</v>
      </c>
      <c r="K28" s="66" t="n">
        <f aca="false">SUM(E28,G28,I28)</f>
        <v>0</v>
      </c>
      <c r="L28" s="140" t="n">
        <f aca="false">$D28*K28</f>
        <v>0</v>
      </c>
    </row>
    <row r="29" customFormat="false" ht="15" hidden="false" customHeight="false" outlineLevel="0" collapsed="false">
      <c r="A29" s="136"/>
      <c r="B29" s="137"/>
      <c r="C29" s="142" t="s">
        <v>21</v>
      </c>
      <c r="D29" s="139" t="n">
        <v>5.98</v>
      </c>
      <c r="E29" s="65"/>
      <c r="F29" s="140" t="n">
        <f aca="false">$D29*E29</f>
        <v>0</v>
      </c>
      <c r="G29" s="65"/>
      <c r="H29" s="140" t="n">
        <f aca="false">$D29*G29</f>
        <v>0</v>
      </c>
      <c r="I29" s="65"/>
      <c r="J29" s="140" t="n">
        <f aca="false">$D29*I29</f>
        <v>0</v>
      </c>
      <c r="K29" s="66" t="n">
        <f aca="false">SUM(E29,G29,I29)</f>
        <v>0</v>
      </c>
      <c r="L29" s="140" t="n">
        <f aca="false">$D29*K29</f>
        <v>0</v>
      </c>
    </row>
    <row r="30" customFormat="false" ht="15" hidden="false" customHeight="true" outlineLevel="0" collapsed="false">
      <c r="A30" s="136" t="s">
        <v>28</v>
      </c>
      <c r="B30" s="137" t="s">
        <v>27</v>
      </c>
      <c r="C30" s="142" t="s">
        <v>20</v>
      </c>
      <c r="D30" s="139" t="n">
        <v>2.88</v>
      </c>
      <c r="E30" s="65"/>
      <c r="F30" s="140" t="n">
        <f aca="false">$D30*E30</f>
        <v>0</v>
      </c>
      <c r="G30" s="65"/>
      <c r="H30" s="140" t="n">
        <f aca="false">$D30*G30</f>
        <v>0</v>
      </c>
      <c r="I30" s="65"/>
      <c r="J30" s="140" t="n">
        <f aca="false">$D30*I30</f>
        <v>0</v>
      </c>
      <c r="K30" s="66" t="n">
        <f aca="false">SUM(E30,G30,I30)</f>
        <v>0</v>
      </c>
      <c r="L30" s="140" t="n">
        <f aca="false">$D30*K30</f>
        <v>0</v>
      </c>
    </row>
    <row r="31" customFormat="false" ht="15" hidden="false" customHeight="false" outlineLevel="0" collapsed="false">
      <c r="A31" s="136"/>
      <c r="B31" s="137"/>
      <c r="C31" s="142" t="s">
        <v>21</v>
      </c>
      <c r="D31" s="139" t="n">
        <v>5.98</v>
      </c>
      <c r="E31" s="65"/>
      <c r="F31" s="140" t="n">
        <f aca="false">$D31*E31</f>
        <v>0</v>
      </c>
      <c r="G31" s="65"/>
      <c r="H31" s="140" t="n">
        <f aca="false">$D31*G31</f>
        <v>0</v>
      </c>
      <c r="I31" s="65"/>
      <c r="J31" s="140" t="n">
        <f aca="false">$D31*I31</f>
        <v>0</v>
      </c>
      <c r="K31" s="66" t="n">
        <f aca="false">SUM(E31,G31,I31)</f>
        <v>0</v>
      </c>
      <c r="L31" s="140" t="n">
        <f aca="false">$D31*K31</f>
        <v>0</v>
      </c>
    </row>
    <row r="32" s="146" customFormat="true" ht="15" hidden="false" customHeight="false" outlineLevel="0" collapsed="false">
      <c r="A32" s="143" t="s">
        <v>29</v>
      </c>
      <c r="B32" s="144" t="s">
        <v>18</v>
      </c>
      <c r="C32" s="142" t="s">
        <v>20</v>
      </c>
      <c r="D32" s="145" t="n">
        <v>2.3</v>
      </c>
      <c r="E32" s="65"/>
      <c r="F32" s="140" t="n">
        <f aca="false">$D32*E32</f>
        <v>0</v>
      </c>
      <c r="G32" s="65"/>
      <c r="H32" s="140" t="n">
        <f aca="false">$D32*G32</f>
        <v>0</v>
      </c>
      <c r="I32" s="65"/>
      <c r="J32" s="140" t="n">
        <f aca="false">$D32*I32</f>
        <v>0</v>
      </c>
      <c r="K32" s="66" t="n">
        <f aca="false">SUM(E32,G32,I32)</f>
        <v>0</v>
      </c>
      <c r="L32" s="140" t="n">
        <f aca="false">$D32*K32</f>
        <v>0</v>
      </c>
    </row>
    <row r="33" customFormat="false" ht="15" hidden="false" customHeight="true" outlineLevel="0" collapsed="false">
      <c r="A33" s="147" t="s">
        <v>30</v>
      </c>
      <c r="B33" s="148" t="s">
        <v>31</v>
      </c>
      <c r="C33" s="142" t="s">
        <v>20</v>
      </c>
      <c r="D33" s="139" t="n">
        <v>11</v>
      </c>
      <c r="E33" s="65"/>
      <c r="F33" s="140" t="n">
        <f aca="false">$D33*E33</f>
        <v>0</v>
      </c>
      <c r="G33" s="65"/>
      <c r="H33" s="140" t="n">
        <f aca="false">$D33*G33</f>
        <v>0</v>
      </c>
      <c r="I33" s="65"/>
      <c r="J33" s="140" t="n">
        <f aca="false">$D33*I33</f>
        <v>0</v>
      </c>
      <c r="K33" s="66" t="n">
        <f aca="false">SUM(E33,G33,I33)</f>
        <v>0</v>
      </c>
      <c r="L33" s="140" t="n">
        <f aca="false">$D33*K33</f>
        <v>0</v>
      </c>
    </row>
    <row r="34" customFormat="false" ht="15" hidden="false" customHeight="false" outlineLevel="0" collapsed="false">
      <c r="A34" s="147"/>
      <c r="B34" s="148"/>
      <c r="C34" s="142" t="s">
        <v>21</v>
      </c>
      <c r="D34" s="139" t="n">
        <v>22</v>
      </c>
      <c r="E34" s="65"/>
      <c r="F34" s="140" t="n">
        <f aca="false">$D34*E34</f>
        <v>0</v>
      </c>
      <c r="G34" s="65"/>
      <c r="H34" s="140" t="n">
        <f aca="false">$D34*G34</f>
        <v>0</v>
      </c>
      <c r="I34" s="65"/>
      <c r="J34" s="140" t="n">
        <f aca="false">$D34*I34</f>
        <v>0</v>
      </c>
      <c r="K34" s="66" t="n">
        <f aca="false">SUM(E34,G34,I34)</f>
        <v>0</v>
      </c>
      <c r="L34" s="140" t="n">
        <f aca="false">$D34*K34</f>
        <v>0</v>
      </c>
    </row>
    <row r="35" customFormat="false" ht="15" hidden="false" customHeight="true" outlineLevel="0" collapsed="false">
      <c r="A35" s="136" t="s">
        <v>32</v>
      </c>
      <c r="B35" s="149" t="s">
        <v>24</v>
      </c>
      <c r="C35" s="142" t="s">
        <v>20</v>
      </c>
      <c r="D35" s="139" t="n">
        <v>14</v>
      </c>
      <c r="E35" s="65"/>
      <c r="F35" s="140" t="n">
        <f aca="false">$D35*E35</f>
        <v>0</v>
      </c>
      <c r="G35" s="65"/>
      <c r="H35" s="140" t="n">
        <f aca="false">$D35*G35</f>
        <v>0</v>
      </c>
      <c r="I35" s="65"/>
      <c r="J35" s="140" t="n">
        <f aca="false">$D35*I35</f>
        <v>0</v>
      </c>
      <c r="K35" s="66" t="n">
        <f aca="false">SUM(E35,G35,I35)</f>
        <v>0</v>
      </c>
      <c r="L35" s="140" t="n">
        <f aca="false">$D35*K35</f>
        <v>0</v>
      </c>
    </row>
    <row r="36" customFormat="false" ht="15" hidden="false" customHeight="false" outlineLevel="0" collapsed="false">
      <c r="A36" s="136"/>
      <c r="B36" s="149"/>
      <c r="C36" s="142" t="s">
        <v>21</v>
      </c>
      <c r="D36" s="139" t="n">
        <v>28</v>
      </c>
      <c r="E36" s="65"/>
      <c r="F36" s="140" t="n">
        <f aca="false">$D36*E36</f>
        <v>0</v>
      </c>
      <c r="G36" s="65"/>
      <c r="H36" s="140" t="n">
        <f aca="false">$D36*G36</f>
        <v>0</v>
      </c>
      <c r="I36" s="65"/>
      <c r="J36" s="140" t="n">
        <f aca="false">$D36*I36</f>
        <v>0</v>
      </c>
      <c r="K36" s="66" t="n">
        <f aca="false">SUM(E36,G36,I36)</f>
        <v>0</v>
      </c>
      <c r="L36" s="140" t="n">
        <f aca="false">$D36*K36</f>
        <v>0</v>
      </c>
    </row>
    <row r="37" customFormat="false" ht="15" hidden="false" customHeight="false" outlineLevel="0" collapsed="false">
      <c r="A37" s="138" t="s">
        <v>33</v>
      </c>
      <c r="B37" s="138" t="s">
        <v>34</v>
      </c>
      <c r="C37" s="142" t="s">
        <v>20</v>
      </c>
      <c r="D37" s="139" t="n">
        <v>10</v>
      </c>
      <c r="E37" s="65"/>
      <c r="F37" s="140" t="n">
        <f aca="false">$D37*E37</f>
        <v>0</v>
      </c>
      <c r="G37" s="65"/>
      <c r="H37" s="140" t="n">
        <f aca="false">$D37*G37</f>
        <v>0</v>
      </c>
      <c r="I37" s="65"/>
      <c r="J37" s="140" t="n">
        <f aca="false">$D37*I37</f>
        <v>0</v>
      </c>
      <c r="K37" s="66" t="n">
        <f aca="false">SUM(E37,G37,I37)</f>
        <v>0</v>
      </c>
      <c r="L37" s="140" t="n">
        <f aca="false">$D37*K37</f>
        <v>0</v>
      </c>
    </row>
    <row r="38" customFormat="false" ht="15" hidden="false" customHeight="false" outlineLevel="0" collapsed="false">
      <c r="A38" s="138" t="s">
        <v>33</v>
      </c>
      <c r="B38" s="138" t="s">
        <v>34</v>
      </c>
      <c r="C38" s="142" t="s">
        <v>21</v>
      </c>
      <c r="D38" s="139" t="n">
        <v>20</v>
      </c>
      <c r="E38" s="65"/>
      <c r="F38" s="140" t="n">
        <f aca="false">$D38*E38</f>
        <v>0</v>
      </c>
      <c r="G38" s="65"/>
      <c r="H38" s="140" t="n">
        <f aca="false">$D38*G38</f>
        <v>0</v>
      </c>
      <c r="I38" s="65"/>
      <c r="J38" s="140" t="n">
        <f aca="false">$D38*I38</f>
        <v>0</v>
      </c>
      <c r="K38" s="66" t="n">
        <f aca="false">SUM(E38,G38,I38)</f>
        <v>0</v>
      </c>
      <c r="L38" s="140" t="n">
        <f aca="false">$D38*K38</f>
        <v>0</v>
      </c>
    </row>
    <row r="39" customFormat="false" ht="15" hidden="false" customHeight="false" outlineLevel="0" collapsed="false">
      <c r="A39" s="138" t="s">
        <v>35</v>
      </c>
      <c r="B39" s="138" t="s">
        <v>36</v>
      </c>
      <c r="C39" s="142" t="s">
        <v>20</v>
      </c>
      <c r="D39" s="139" t="n">
        <v>11.5</v>
      </c>
      <c r="E39" s="65"/>
      <c r="F39" s="140" t="n">
        <f aca="false">$D39*E39</f>
        <v>0</v>
      </c>
      <c r="G39" s="65"/>
      <c r="H39" s="140" t="n">
        <f aca="false">$D39*G39</f>
        <v>0</v>
      </c>
      <c r="I39" s="65"/>
      <c r="J39" s="140" t="n">
        <f aca="false">$D39*I39</f>
        <v>0</v>
      </c>
      <c r="K39" s="66" t="n">
        <f aca="false">SUM(E39,G39,I39)</f>
        <v>0</v>
      </c>
      <c r="L39" s="140" t="n">
        <f aca="false">$D39*K39</f>
        <v>0</v>
      </c>
    </row>
    <row r="40" customFormat="false" ht="15" hidden="false" customHeight="false" outlineLevel="0" collapsed="false">
      <c r="A40" s="138" t="s">
        <v>37</v>
      </c>
      <c r="B40" s="138" t="s">
        <v>38</v>
      </c>
      <c r="C40" s="142" t="s">
        <v>20</v>
      </c>
      <c r="D40" s="139" t="n">
        <v>13.8</v>
      </c>
      <c r="E40" s="65"/>
      <c r="F40" s="140" t="n">
        <f aca="false">$D40*E40</f>
        <v>0</v>
      </c>
      <c r="G40" s="65"/>
      <c r="H40" s="140" t="n">
        <f aca="false">$D40*G40</f>
        <v>0</v>
      </c>
      <c r="I40" s="65"/>
      <c r="J40" s="140" t="n">
        <f aca="false">$D40*I40</f>
        <v>0</v>
      </c>
      <c r="K40" s="66" t="n">
        <f aca="false">SUM(E40,G40,I40)</f>
        <v>0</v>
      </c>
      <c r="L40" s="140" t="n">
        <f aca="false">$D40*K40</f>
        <v>0</v>
      </c>
    </row>
    <row r="41" customFormat="false" ht="15" hidden="false" customHeight="false" outlineLevel="0" collapsed="false">
      <c r="A41" s="138" t="s">
        <v>39</v>
      </c>
      <c r="B41" s="138" t="s">
        <v>25</v>
      </c>
      <c r="C41" s="142" t="s">
        <v>20</v>
      </c>
      <c r="D41" s="139" t="n">
        <v>0.71</v>
      </c>
      <c r="E41" s="65"/>
      <c r="F41" s="140" t="n">
        <f aca="false">$D41*E41</f>
        <v>0</v>
      </c>
      <c r="G41" s="65"/>
      <c r="H41" s="140" t="n">
        <f aca="false">$D41*G41</f>
        <v>0</v>
      </c>
      <c r="I41" s="65"/>
      <c r="J41" s="140" t="n">
        <f aca="false">$D41*I41</f>
        <v>0</v>
      </c>
      <c r="K41" s="66" t="n">
        <f aca="false">SUM(E41,G41,I41)</f>
        <v>0</v>
      </c>
      <c r="L41" s="140" t="n">
        <f aca="false">$D41*K41</f>
        <v>0</v>
      </c>
    </row>
    <row r="42" customFormat="false" ht="15" hidden="false" customHeight="false" outlineLevel="0" collapsed="false">
      <c r="A42" s="138" t="s">
        <v>39</v>
      </c>
      <c r="B42" s="138" t="s">
        <v>25</v>
      </c>
      <c r="C42" s="142" t="s">
        <v>21</v>
      </c>
      <c r="D42" s="139" t="n">
        <v>1.44</v>
      </c>
      <c r="E42" s="65"/>
      <c r="F42" s="140" t="n">
        <f aca="false">$D42*E42</f>
        <v>0</v>
      </c>
      <c r="G42" s="65"/>
      <c r="H42" s="140" t="n">
        <f aca="false">$D42*G42</f>
        <v>0</v>
      </c>
      <c r="I42" s="65"/>
      <c r="J42" s="140" t="n">
        <f aca="false">$D42*I42</f>
        <v>0</v>
      </c>
      <c r="K42" s="66" t="n">
        <f aca="false">SUM(E42,G42,I42)</f>
        <v>0</v>
      </c>
      <c r="L42" s="140" t="n">
        <f aca="false">$D42*K42</f>
        <v>0</v>
      </c>
    </row>
    <row r="43" customFormat="false" ht="15" hidden="false" customHeight="false" outlineLevel="0" collapsed="false">
      <c r="A43" s="138" t="s">
        <v>40</v>
      </c>
      <c r="B43" s="138" t="s">
        <v>17</v>
      </c>
      <c r="C43" s="142" t="s">
        <v>20</v>
      </c>
      <c r="D43" s="139" t="n">
        <v>0.48</v>
      </c>
      <c r="E43" s="65"/>
      <c r="F43" s="140" t="n">
        <f aca="false">$D43*E43</f>
        <v>0</v>
      </c>
      <c r="G43" s="65"/>
      <c r="H43" s="140" t="n">
        <f aca="false">$D43*G43</f>
        <v>0</v>
      </c>
      <c r="I43" s="65"/>
      <c r="J43" s="140" t="n">
        <f aca="false">$D43*I43</f>
        <v>0</v>
      </c>
      <c r="K43" s="66" t="n">
        <f aca="false">SUM(E43,G43,I43)</f>
        <v>0</v>
      </c>
      <c r="L43" s="140" t="n">
        <f aca="false">$D43*K43</f>
        <v>0</v>
      </c>
    </row>
    <row r="44" customFormat="false" ht="15" hidden="false" customHeight="false" outlineLevel="0" collapsed="false">
      <c r="A44" s="138" t="s">
        <v>40</v>
      </c>
      <c r="B44" s="138" t="s">
        <v>17</v>
      </c>
      <c r="C44" s="142" t="s">
        <v>21</v>
      </c>
      <c r="D44" s="139" t="n">
        <v>0.99</v>
      </c>
      <c r="E44" s="65"/>
      <c r="F44" s="140" t="n">
        <f aca="false">$D44*E44</f>
        <v>0</v>
      </c>
      <c r="G44" s="65"/>
      <c r="H44" s="140" t="n">
        <f aca="false">$D44*G44</f>
        <v>0</v>
      </c>
      <c r="I44" s="65"/>
      <c r="J44" s="140" t="n">
        <f aca="false">$D44*I44</f>
        <v>0</v>
      </c>
      <c r="K44" s="66" t="n">
        <f aca="false">SUM(E44,G44,I44)</f>
        <v>0</v>
      </c>
      <c r="L44" s="140" t="n">
        <f aca="false">$D44*K44</f>
        <v>0</v>
      </c>
    </row>
    <row r="45" customFormat="false" ht="15" hidden="false" customHeight="false" outlineLevel="0" collapsed="false">
      <c r="A45" s="138" t="s">
        <v>41</v>
      </c>
      <c r="B45" s="138" t="s">
        <v>36</v>
      </c>
      <c r="C45" s="142" t="s">
        <v>20</v>
      </c>
      <c r="D45" s="139" t="n">
        <v>0.4</v>
      </c>
      <c r="E45" s="65"/>
      <c r="F45" s="140" t="n">
        <f aca="false">$D45*E45</f>
        <v>0</v>
      </c>
      <c r="G45" s="65"/>
      <c r="H45" s="140" t="n">
        <f aca="false">$D45*G45</f>
        <v>0</v>
      </c>
      <c r="I45" s="65"/>
      <c r="J45" s="140" t="n">
        <f aca="false">$D45*I45</f>
        <v>0</v>
      </c>
      <c r="K45" s="66" t="n">
        <f aca="false">SUM(E45,G45,I45)</f>
        <v>0</v>
      </c>
      <c r="L45" s="140" t="n">
        <f aca="false">$D45*K45</f>
        <v>0</v>
      </c>
    </row>
    <row r="46" customFormat="false" ht="15" hidden="false" customHeight="false" outlineLevel="0" collapsed="false">
      <c r="A46" s="138" t="s">
        <v>41</v>
      </c>
      <c r="B46" s="138" t="s">
        <v>36</v>
      </c>
      <c r="C46" s="142" t="s">
        <v>21</v>
      </c>
      <c r="D46" s="139" t="n">
        <v>0.81</v>
      </c>
      <c r="E46" s="65"/>
      <c r="F46" s="140" t="n">
        <f aca="false">$D46*E46</f>
        <v>0</v>
      </c>
      <c r="G46" s="65"/>
      <c r="H46" s="140" t="n">
        <f aca="false">$D46*G46</f>
        <v>0</v>
      </c>
      <c r="I46" s="65"/>
      <c r="J46" s="140" t="n">
        <f aca="false">$D46*I46</f>
        <v>0</v>
      </c>
      <c r="K46" s="66" t="n">
        <f aca="false">SUM(E46,G46,I46)</f>
        <v>0</v>
      </c>
      <c r="L46" s="140" t="n">
        <f aca="false">$D46*K46</f>
        <v>0</v>
      </c>
    </row>
    <row r="47" customFormat="false" ht="15" hidden="false" customHeight="false" outlineLevel="0" collapsed="false">
      <c r="A47" s="138" t="s">
        <v>42</v>
      </c>
      <c r="B47" s="138" t="s">
        <v>43</v>
      </c>
      <c r="C47" s="142" t="s">
        <v>20</v>
      </c>
      <c r="D47" s="139" t="n">
        <v>5.75</v>
      </c>
      <c r="E47" s="65"/>
      <c r="F47" s="140" t="n">
        <f aca="false">$D47*E47</f>
        <v>0</v>
      </c>
      <c r="G47" s="65"/>
      <c r="H47" s="140" t="n">
        <f aca="false">$D47*G47</f>
        <v>0</v>
      </c>
      <c r="I47" s="65"/>
      <c r="J47" s="140" t="n">
        <f aca="false">$D47*I47</f>
        <v>0</v>
      </c>
      <c r="K47" s="66" t="n">
        <f aca="false">SUM(E47,G47,I47)</f>
        <v>0</v>
      </c>
      <c r="L47" s="140" t="n">
        <f aca="false">$D47*K47</f>
        <v>0</v>
      </c>
    </row>
    <row r="48" customFormat="false" ht="15" hidden="false" customHeight="false" outlineLevel="0" collapsed="false">
      <c r="A48" s="138" t="s">
        <v>44</v>
      </c>
      <c r="B48" s="138" t="s">
        <v>34</v>
      </c>
      <c r="C48" s="142" t="s">
        <v>45</v>
      </c>
      <c r="D48" s="139" t="n">
        <v>46</v>
      </c>
      <c r="E48" s="65"/>
      <c r="F48" s="140" t="n">
        <f aca="false">$D48*E48</f>
        <v>0</v>
      </c>
      <c r="G48" s="65"/>
      <c r="H48" s="140" t="n">
        <f aca="false">$D48*G48</f>
        <v>0</v>
      </c>
      <c r="I48" s="65"/>
      <c r="J48" s="140" t="n">
        <f aca="false">$D48*I48</f>
        <v>0</v>
      </c>
      <c r="K48" s="66" t="n">
        <f aca="false">SUM(E48,G48,I48)</f>
        <v>0</v>
      </c>
      <c r="L48" s="140" t="n">
        <f aca="false">$D48*K48</f>
        <v>0</v>
      </c>
    </row>
    <row r="49" customFormat="false" ht="15" hidden="false" customHeight="false" outlineLevel="0" collapsed="false">
      <c r="A49" s="138" t="s">
        <v>46</v>
      </c>
      <c r="B49" s="138" t="s">
        <v>34</v>
      </c>
      <c r="C49" s="142" t="s">
        <v>45</v>
      </c>
      <c r="D49" s="139" t="n">
        <v>50.6</v>
      </c>
      <c r="E49" s="65"/>
      <c r="F49" s="140" t="n">
        <f aca="false">$D49*E49</f>
        <v>0</v>
      </c>
      <c r="G49" s="65"/>
      <c r="H49" s="140" t="n">
        <f aca="false">$D49*G49</f>
        <v>0</v>
      </c>
      <c r="I49" s="65"/>
      <c r="J49" s="140" t="n">
        <f aca="false">$D49*I49</f>
        <v>0</v>
      </c>
      <c r="K49" s="66" t="n">
        <f aca="false">SUM(E49,G49,I49)</f>
        <v>0</v>
      </c>
      <c r="L49" s="140" t="n">
        <f aca="false">$D49*K49</f>
        <v>0</v>
      </c>
    </row>
    <row r="50" customFormat="false" ht="15" hidden="false" customHeight="false" outlineLevel="0" collapsed="false">
      <c r="A50" s="138" t="s">
        <v>47</v>
      </c>
      <c r="B50" s="138" t="s">
        <v>34</v>
      </c>
      <c r="C50" s="142" t="s">
        <v>45</v>
      </c>
      <c r="D50" s="139" t="n">
        <v>55.2</v>
      </c>
      <c r="E50" s="65"/>
      <c r="F50" s="140" t="n">
        <f aca="false">$D50*E50</f>
        <v>0</v>
      </c>
      <c r="G50" s="65"/>
      <c r="H50" s="140" t="n">
        <f aca="false">$D50*G50</f>
        <v>0</v>
      </c>
      <c r="I50" s="65"/>
      <c r="J50" s="140" t="n">
        <f aca="false">$D50*I50</f>
        <v>0</v>
      </c>
      <c r="K50" s="66" t="n">
        <f aca="false">SUM(E50,G50,I50)</f>
        <v>0</v>
      </c>
      <c r="L50" s="140" t="n">
        <f aca="false">$D50*K50</f>
        <v>0</v>
      </c>
    </row>
    <row r="51" customFormat="false" ht="15" hidden="false" customHeight="false" outlineLevel="0" collapsed="false">
      <c r="A51" s="138" t="s">
        <v>48</v>
      </c>
      <c r="B51" s="138" t="s">
        <v>34</v>
      </c>
      <c r="C51" s="142" t="s">
        <v>45</v>
      </c>
      <c r="D51" s="139" t="n">
        <v>57.5</v>
      </c>
      <c r="E51" s="65"/>
      <c r="F51" s="140" t="n">
        <f aca="false">$D51*E51</f>
        <v>0</v>
      </c>
      <c r="G51" s="65"/>
      <c r="H51" s="140" t="n">
        <f aca="false">$D51*G51</f>
        <v>0</v>
      </c>
      <c r="I51" s="65"/>
      <c r="J51" s="140" t="n">
        <f aca="false">$D51*I51</f>
        <v>0</v>
      </c>
      <c r="K51" s="66" t="n">
        <f aca="false">SUM(E51,G51,I51)</f>
        <v>0</v>
      </c>
      <c r="L51" s="140" t="n">
        <f aca="false">$D51*K51</f>
        <v>0</v>
      </c>
    </row>
    <row r="52" customFormat="false" ht="15" hidden="false" customHeight="false" outlineLevel="0" collapsed="false">
      <c r="A52" s="144" t="s">
        <v>49</v>
      </c>
      <c r="B52" s="138" t="s">
        <v>50</v>
      </c>
      <c r="C52" s="142" t="s">
        <v>20</v>
      </c>
      <c r="D52" s="139" t="n">
        <v>86.25</v>
      </c>
      <c r="E52" s="65"/>
      <c r="F52" s="140" t="n">
        <f aca="false">$D52*E52</f>
        <v>0</v>
      </c>
      <c r="G52" s="65"/>
      <c r="H52" s="140" t="n">
        <f aca="false">$D52*G52</f>
        <v>0</v>
      </c>
      <c r="I52" s="65"/>
      <c r="J52" s="140" t="n">
        <f aca="false">$D52*I52</f>
        <v>0</v>
      </c>
      <c r="K52" s="66" t="n">
        <f aca="false">SUM(E52,G52,I52)</f>
        <v>0</v>
      </c>
      <c r="L52" s="140" t="n">
        <f aca="false">$D52*K52</f>
        <v>0</v>
      </c>
    </row>
    <row r="53" customFormat="false" ht="15" hidden="false" customHeight="false" outlineLevel="0" collapsed="false">
      <c r="A53" s="144" t="s">
        <v>49</v>
      </c>
      <c r="B53" s="138" t="s">
        <v>50</v>
      </c>
      <c r="C53" s="142" t="s">
        <v>21</v>
      </c>
      <c r="D53" s="139" t="n">
        <v>172.5</v>
      </c>
      <c r="E53" s="65"/>
      <c r="F53" s="140" t="n">
        <f aca="false">$D53*E53</f>
        <v>0</v>
      </c>
      <c r="G53" s="65"/>
      <c r="H53" s="140" t="n">
        <f aca="false">$D53*G53</f>
        <v>0</v>
      </c>
      <c r="I53" s="65"/>
      <c r="J53" s="140" t="n">
        <f aca="false">$D53*I53</f>
        <v>0</v>
      </c>
      <c r="K53" s="66" t="n">
        <f aca="false">SUM(E53,G53,I53)</f>
        <v>0</v>
      </c>
      <c r="L53" s="140" t="n">
        <f aca="false">$D53*K53</f>
        <v>0</v>
      </c>
    </row>
    <row r="54" customFormat="false" ht="15" hidden="false" customHeight="false" outlineLevel="0" collapsed="false">
      <c r="A54" s="138" t="s">
        <v>51</v>
      </c>
      <c r="B54" s="138" t="s">
        <v>52</v>
      </c>
      <c r="C54" s="142" t="s">
        <v>53</v>
      </c>
      <c r="D54" s="139" t="n">
        <v>57.5</v>
      </c>
      <c r="E54" s="65"/>
      <c r="F54" s="140" t="n">
        <f aca="false">$D54*E54</f>
        <v>0</v>
      </c>
      <c r="G54" s="65"/>
      <c r="H54" s="140" t="n">
        <f aca="false">$D54*G54</f>
        <v>0</v>
      </c>
      <c r="I54" s="65"/>
      <c r="J54" s="140" t="n">
        <f aca="false">$D54*I54</f>
        <v>0</v>
      </c>
      <c r="K54" s="66" t="n">
        <f aca="false">SUM(E54,G54,I54)</f>
        <v>0</v>
      </c>
      <c r="L54" s="140" t="n">
        <f aca="false">$D54*K54</f>
        <v>0</v>
      </c>
    </row>
    <row r="55" customFormat="false" ht="15" hidden="false" customHeight="false" outlineLevel="0" collapsed="false">
      <c r="A55" s="138" t="s">
        <v>54</v>
      </c>
      <c r="B55" s="138" t="s">
        <v>55</v>
      </c>
      <c r="C55" s="142" t="s">
        <v>21</v>
      </c>
      <c r="D55" s="139" t="n">
        <v>18</v>
      </c>
      <c r="E55" s="65"/>
      <c r="F55" s="140" t="n">
        <f aca="false">$D55*E55</f>
        <v>0</v>
      </c>
      <c r="G55" s="65"/>
      <c r="H55" s="140" t="n">
        <f aca="false">$D55*G55</f>
        <v>0</v>
      </c>
      <c r="I55" s="65"/>
      <c r="J55" s="140" t="n">
        <f aca="false">$D55*I55</f>
        <v>0</v>
      </c>
      <c r="K55" s="66" t="n">
        <f aca="false">SUM(E55,G55,I55)</f>
        <v>0</v>
      </c>
      <c r="L55" s="140" t="n">
        <f aca="false">$D55*K55</f>
        <v>0</v>
      </c>
    </row>
    <row r="56" customFormat="false" ht="15" hidden="false" customHeight="false" outlineLevel="0" collapsed="false">
      <c r="A56" s="138" t="s">
        <v>56</v>
      </c>
      <c r="B56" s="138" t="s">
        <v>57</v>
      </c>
      <c r="C56" s="142" t="s">
        <v>20</v>
      </c>
      <c r="D56" s="139" t="n">
        <v>11.5</v>
      </c>
      <c r="E56" s="65"/>
      <c r="F56" s="140" t="n">
        <f aca="false">$D56*E56</f>
        <v>0</v>
      </c>
      <c r="G56" s="65"/>
      <c r="H56" s="140" t="n">
        <f aca="false">$D56*G56</f>
        <v>0</v>
      </c>
      <c r="I56" s="65"/>
      <c r="J56" s="140" t="n">
        <f aca="false">$D56*I56</f>
        <v>0</v>
      </c>
      <c r="K56" s="66" t="n">
        <f aca="false">SUM(E56,G56,I56)</f>
        <v>0</v>
      </c>
      <c r="L56" s="140" t="n">
        <f aca="false">$D56*K56</f>
        <v>0</v>
      </c>
    </row>
    <row r="57" customFormat="false" ht="15" hidden="false" customHeight="false" outlineLevel="0" collapsed="false">
      <c r="A57" s="144" t="s">
        <v>58</v>
      </c>
      <c r="B57" s="138" t="s">
        <v>59</v>
      </c>
      <c r="C57" s="142" t="s">
        <v>19</v>
      </c>
      <c r="D57" s="139" t="n">
        <v>5</v>
      </c>
      <c r="E57" s="65"/>
      <c r="F57" s="140" t="n">
        <f aca="false">$D57*E57</f>
        <v>0</v>
      </c>
      <c r="G57" s="65"/>
      <c r="H57" s="140" t="n">
        <f aca="false">$D57*G57</f>
        <v>0</v>
      </c>
      <c r="I57" s="65"/>
      <c r="J57" s="140" t="n">
        <f aca="false">$D57*I57</f>
        <v>0</v>
      </c>
      <c r="K57" s="66" t="n">
        <f aca="false">SUM(E57,G57,I57)</f>
        <v>0</v>
      </c>
      <c r="L57" s="140" t="n">
        <f aca="false">$D57*K57</f>
        <v>0</v>
      </c>
    </row>
    <row r="58" customFormat="false" ht="15" hidden="false" customHeight="false" outlineLevel="0" collapsed="false">
      <c r="A58" s="144" t="s">
        <v>58</v>
      </c>
      <c r="B58" s="138" t="s">
        <v>59</v>
      </c>
      <c r="C58" s="142" t="s">
        <v>20</v>
      </c>
      <c r="D58" s="139" t="n">
        <v>10</v>
      </c>
      <c r="E58" s="65"/>
      <c r="F58" s="140" t="n">
        <f aca="false">$D58*E58</f>
        <v>0</v>
      </c>
      <c r="G58" s="65"/>
      <c r="H58" s="140" t="n">
        <f aca="false">$D58*G58</f>
        <v>0</v>
      </c>
      <c r="I58" s="65"/>
      <c r="J58" s="140" t="n">
        <f aca="false">$D58*I58</f>
        <v>0</v>
      </c>
      <c r="K58" s="66" t="n">
        <f aca="false">SUM(E58,G58,I58)</f>
        <v>0</v>
      </c>
      <c r="L58" s="140" t="n">
        <f aca="false">$D58*K58</f>
        <v>0</v>
      </c>
    </row>
    <row r="59" customFormat="false" ht="15" hidden="false" customHeight="false" outlineLevel="0" collapsed="false">
      <c r="A59" s="138" t="s">
        <v>60</v>
      </c>
      <c r="B59" s="138" t="s">
        <v>61</v>
      </c>
      <c r="C59" s="142" t="s">
        <v>62</v>
      </c>
      <c r="D59" s="139" t="n">
        <v>1475</v>
      </c>
      <c r="E59" s="65"/>
      <c r="F59" s="140" t="n">
        <f aca="false">$D59*E59</f>
        <v>0</v>
      </c>
      <c r="G59" s="65"/>
      <c r="H59" s="140" t="n">
        <f aca="false">$D59*G59</f>
        <v>0</v>
      </c>
      <c r="I59" s="65"/>
      <c r="J59" s="140" t="n">
        <f aca="false">$D59*I59</f>
        <v>0</v>
      </c>
      <c r="K59" s="66" t="n">
        <f aca="false">SUM(E59,G59,I59)</f>
        <v>0</v>
      </c>
      <c r="L59" s="140" t="n">
        <f aca="false">$D59*K59</f>
        <v>0</v>
      </c>
    </row>
    <row r="60" customFormat="false" ht="15" hidden="false" customHeight="false" outlineLevel="0" collapsed="false">
      <c r="A60" s="138" t="s">
        <v>63</v>
      </c>
      <c r="B60" s="133" t="s">
        <v>64</v>
      </c>
      <c r="C60" s="150"/>
      <c r="D60" s="139" t="n">
        <v>65</v>
      </c>
      <c r="E60" s="65"/>
      <c r="F60" s="140" t="n">
        <f aca="false">$D60*E60</f>
        <v>0</v>
      </c>
      <c r="G60" s="65"/>
      <c r="H60" s="140" t="n">
        <f aca="false">$D60*G60</f>
        <v>0</v>
      </c>
      <c r="I60" s="66"/>
      <c r="J60" s="140" t="n">
        <f aca="false">$D60*I60</f>
        <v>0</v>
      </c>
      <c r="K60" s="66" t="n">
        <f aca="false">SUM(E60,G60,I60)</f>
        <v>0</v>
      </c>
      <c r="L60" s="140" t="n">
        <f aca="false">$D60*K60</f>
        <v>0</v>
      </c>
    </row>
    <row r="61" customFormat="false" ht="15" hidden="false" customHeight="false" outlineLevel="0" collapsed="false">
      <c r="A61" s="151"/>
      <c r="B61" s="133"/>
      <c r="C61" s="150"/>
      <c r="D61" s="139"/>
      <c r="E61" s="66"/>
      <c r="F61" s="140" t="n">
        <f aca="false">$D61*E61</f>
        <v>0</v>
      </c>
      <c r="G61" s="66"/>
      <c r="H61" s="140" t="n">
        <f aca="false">$D61*G61</f>
        <v>0</v>
      </c>
      <c r="I61" s="66"/>
      <c r="J61" s="140" t="n">
        <f aca="false">$D61*I61</f>
        <v>0</v>
      </c>
      <c r="K61" s="66" t="n">
        <f aca="false">SUM(E61,G61,I61)</f>
        <v>0</v>
      </c>
      <c r="L61" s="140" t="n">
        <f aca="false">$D61*K61</f>
        <v>0</v>
      </c>
    </row>
    <row r="62" customFormat="false" ht="15" hidden="false" customHeight="false" outlineLevel="0" collapsed="false">
      <c r="A62" s="151"/>
      <c r="B62" s="133"/>
      <c r="C62" s="150"/>
      <c r="D62" s="139"/>
      <c r="E62" s="66"/>
      <c r="F62" s="140" t="n">
        <f aca="false">$D62*E62</f>
        <v>0</v>
      </c>
      <c r="G62" s="66"/>
      <c r="H62" s="140" t="n">
        <f aca="false">$D62*G62</f>
        <v>0</v>
      </c>
      <c r="I62" s="66"/>
      <c r="J62" s="140" t="n">
        <f aca="false">$D62*I62</f>
        <v>0</v>
      </c>
      <c r="K62" s="66" t="n">
        <f aca="false">SUM(E62,G62,I62)</f>
        <v>0</v>
      </c>
      <c r="L62" s="140" t="n">
        <f aca="false">$D62*K62</f>
        <v>0</v>
      </c>
    </row>
    <row r="63" customFormat="false" ht="15" hidden="false" customHeight="false" outlineLevel="0" collapsed="false">
      <c r="A63" s="151"/>
      <c r="B63" s="133"/>
      <c r="C63" s="150"/>
      <c r="D63" s="139"/>
      <c r="E63" s="66"/>
      <c r="F63" s="140" t="n">
        <f aca="false">$D63*E63</f>
        <v>0</v>
      </c>
      <c r="G63" s="66"/>
      <c r="H63" s="140" t="n">
        <f aca="false">$D63*G63</f>
        <v>0</v>
      </c>
      <c r="I63" s="66"/>
      <c r="J63" s="140" t="n">
        <f aca="false">$D63*I63</f>
        <v>0</v>
      </c>
      <c r="K63" s="66" t="n">
        <f aca="false">SUM(E63,G63,I63)</f>
        <v>0</v>
      </c>
      <c r="L63" s="140" t="n">
        <f aca="false">$D63*K63</f>
        <v>0</v>
      </c>
    </row>
    <row r="64" customFormat="false" ht="15" hidden="false" customHeight="false" outlineLevel="0" collapsed="false">
      <c r="A64" s="151"/>
      <c r="B64" s="133"/>
      <c r="C64" s="150"/>
      <c r="D64" s="139"/>
      <c r="E64" s="66"/>
      <c r="F64" s="140" t="n">
        <f aca="false">$D64*E64</f>
        <v>0</v>
      </c>
      <c r="G64" s="66"/>
      <c r="H64" s="140" t="n">
        <f aca="false">$D64*G64</f>
        <v>0</v>
      </c>
      <c r="I64" s="66"/>
      <c r="J64" s="140" t="n">
        <f aca="false">$D64*I64</f>
        <v>0</v>
      </c>
      <c r="K64" s="66" t="n">
        <f aca="false">SUM(E64,G64,I64)</f>
        <v>0</v>
      </c>
      <c r="L64" s="140" t="n">
        <f aca="false">$D64*K64</f>
        <v>0</v>
      </c>
    </row>
    <row r="65" customFormat="false" ht="15" hidden="false" customHeight="false" outlineLevel="0" collapsed="false">
      <c r="A65" s="151"/>
      <c r="B65" s="133"/>
      <c r="C65" s="150"/>
      <c r="D65" s="139"/>
      <c r="E65" s="66"/>
      <c r="F65" s="140" t="n">
        <f aca="false">$D65*E65</f>
        <v>0</v>
      </c>
      <c r="G65" s="66"/>
      <c r="H65" s="140" t="n">
        <f aca="false">$D65*G65</f>
        <v>0</v>
      </c>
      <c r="I65" s="66"/>
      <c r="J65" s="140" t="n">
        <f aca="false">$D65*I65</f>
        <v>0</v>
      </c>
      <c r="K65" s="66" t="n">
        <f aca="false">SUM(E65,G65,I65)</f>
        <v>0</v>
      </c>
      <c r="L65" s="140" t="n">
        <f aca="false">$D65*K65</f>
        <v>0</v>
      </c>
    </row>
    <row r="66" customFormat="false" ht="15" hidden="false" customHeight="false" outlineLevel="0" collapsed="false">
      <c r="A66" s="151"/>
      <c r="B66" s="133"/>
      <c r="C66" s="150"/>
      <c r="D66" s="139"/>
      <c r="E66" s="66"/>
      <c r="F66" s="140" t="n">
        <f aca="false">$D66*E66</f>
        <v>0</v>
      </c>
      <c r="G66" s="66"/>
      <c r="H66" s="140" t="n">
        <f aca="false">$D66*G66</f>
        <v>0</v>
      </c>
      <c r="I66" s="66"/>
      <c r="J66" s="140" t="n">
        <f aca="false">$D66*I66</f>
        <v>0</v>
      </c>
      <c r="K66" s="66" t="n">
        <f aca="false">SUM(E66,G66,I66)</f>
        <v>0</v>
      </c>
      <c r="L66" s="140" t="n">
        <f aca="false">$D66*K66</f>
        <v>0</v>
      </c>
    </row>
    <row r="67" customFormat="false" ht="12.75" hidden="false" customHeight="true" outlineLevel="0" collapsed="false">
      <c r="A67" s="151"/>
      <c r="B67" s="133"/>
      <c r="C67" s="150"/>
      <c r="D67" s="139"/>
      <c r="E67" s="66"/>
      <c r="F67" s="140" t="n">
        <f aca="false">$D67*E67</f>
        <v>0</v>
      </c>
      <c r="G67" s="66"/>
      <c r="H67" s="140" t="n">
        <f aca="false">$D67*G67</f>
        <v>0</v>
      </c>
      <c r="I67" s="66"/>
      <c r="J67" s="140" t="n">
        <f aca="false">$D67*I67</f>
        <v>0</v>
      </c>
      <c r="K67" s="66" t="n">
        <f aca="false">SUM(E67,G67,I67)</f>
        <v>0</v>
      </c>
      <c r="L67" s="140" t="n">
        <f aca="false">$D67*K67</f>
        <v>0</v>
      </c>
    </row>
    <row r="68" customFormat="false" ht="15" hidden="true" customHeight="false" outlineLevel="0" collapsed="false">
      <c r="A68" s="151"/>
      <c r="B68" s="133"/>
      <c r="C68" s="150"/>
      <c r="D68" s="139"/>
      <c r="E68" s="66"/>
      <c r="F68" s="140" t="n">
        <f aca="false">$D68*E68</f>
        <v>0</v>
      </c>
      <c r="G68" s="66"/>
      <c r="H68" s="140" t="n">
        <f aca="false">$D68*G68</f>
        <v>0</v>
      </c>
      <c r="I68" s="66"/>
      <c r="J68" s="140" t="n">
        <f aca="false">$D68*I68</f>
        <v>0</v>
      </c>
      <c r="K68" s="66" t="n">
        <f aca="false">SUM(E68,G68,I68)</f>
        <v>0</v>
      </c>
      <c r="L68" s="140" t="n">
        <f aca="false">$D68*K68</f>
        <v>0</v>
      </c>
    </row>
    <row r="69" customFormat="false" ht="15" hidden="false" customHeight="false" outlineLevel="0" collapsed="false">
      <c r="A69" s="151"/>
      <c r="B69" s="133"/>
      <c r="C69" s="150"/>
      <c r="D69" s="139"/>
      <c r="E69" s="66"/>
      <c r="F69" s="140" t="n">
        <f aca="false">$D69*E69</f>
        <v>0</v>
      </c>
      <c r="G69" s="66"/>
      <c r="H69" s="140" t="n">
        <f aca="false">$D69*G69</f>
        <v>0</v>
      </c>
      <c r="I69" s="66"/>
      <c r="J69" s="140" t="n">
        <f aca="false">$D69*I69</f>
        <v>0</v>
      </c>
      <c r="K69" s="66" t="n">
        <f aca="false">SUM(E69,G69,I69)</f>
        <v>0</v>
      </c>
      <c r="L69" s="140" t="n">
        <f aca="false">$D69*K69</f>
        <v>0</v>
      </c>
    </row>
    <row r="70" customFormat="false" ht="15" hidden="true" customHeight="false" outlineLevel="0" collapsed="false">
      <c r="A70" s="151"/>
      <c r="B70" s="133"/>
      <c r="C70" s="150"/>
      <c r="D70" s="139"/>
      <c r="E70" s="66"/>
      <c r="F70" s="140" t="n">
        <f aca="false">$D70*E70</f>
        <v>0</v>
      </c>
      <c r="G70" s="66"/>
      <c r="H70" s="140" t="n">
        <f aca="false">$D70*G70</f>
        <v>0</v>
      </c>
      <c r="I70" s="66"/>
      <c r="J70" s="140" t="n">
        <f aca="false">$D70*I70</f>
        <v>0</v>
      </c>
      <c r="K70" s="66" t="n">
        <f aca="false">SUM(E70,G70,I70)</f>
        <v>0</v>
      </c>
      <c r="L70" s="140" t="n">
        <f aca="false">$D70*K70</f>
        <v>0</v>
      </c>
    </row>
    <row r="71" customFormat="false" ht="15" hidden="true" customHeight="false" outlineLevel="0" collapsed="false">
      <c r="A71" s="151"/>
      <c r="B71" s="133"/>
      <c r="C71" s="150"/>
      <c r="D71" s="139"/>
      <c r="E71" s="66"/>
      <c r="F71" s="140" t="n">
        <f aca="false">$D71*E71</f>
        <v>0</v>
      </c>
      <c r="G71" s="66"/>
      <c r="H71" s="140" t="n">
        <f aca="false">$D71*G71</f>
        <v>0</v>
      </c>
      <c r="I71" s="66"/>
      <c r="J71" s="140" t="n">
        <f aca="false">$D71*I71</f>
        <v>0</v>
      </c>
      <c r="K71" s="66" t="n">
        <f aca="false">SUM(E71,G71,I71)</f>
        <v>0</v>
      </c>
      <c r="L71" s="140" t="n">
        <f aca="false">$D71*K71</f>
        <v>0</v>
      </c>
    </row>
    <row r="72" customFormat="false" ht="16.5" hidden="false" customHeight="true" outlineLevel="0" collapsed="false">
      <c r="K72" s="66" t="n">
        <f aca="false">SUM(E72,G72,I72)</f>
        <v>0</v>
      </c>
    </row>
    <row r="73" s="33" customFormat="true" ht="15" hidden="false" customHeight="false" outlineLevel="0" collapsed="false">
      <c r="A73" s="152"/>
      <c r="B73" s="73"/>
      <c r="C73" s="152"/>
      <c r="D73" s="153" t="s">
        <v>65</v>
      </c>
      <c r="E73" s="111" t="n">
        <f aca="false">SUM(E8:E72)</f>
        <v>0</v>
      </c>
      <c r="F73" s="140" t="n">
        <f aca="false">SUM(F8:F72)</f>
        <v>0</v>
      </c>
      <c r="G73" s="111" t="n">
        <f aca="false">SUM(G8:G60)</f>
        <v>0</v>
      </c>
      <c r="H73" s="140" t="n">
        <f aca="false">SUM(H8:H72)</f>
        <v>0</v>
      </c>
      <c r="I73" s="111" t="n">
        <f aca="false">SUM(I8:I72)</f>
        <v>0</v>
      </c>
      <c r="J73" s="140" t="n">
        <f aca="false">SUM(J9:J71)</f>
        <v>0</v>
      </c>
      <c r="K73" s="111" t="n">
        <f aca="false">SUM(K8:K69)</f>
        <v>0</v>
      </c>
      <c r="L73" s="140" t="n">
        <f aca="false">SUM(L9:L71)</f>
        <v>0</v>
      </c>
    </row>
    <row r="98" s="34" customFormat="true" ht="15" hidden="false" customHeight="false" outlineLevel="0" collapsed="false">
      <c r="CK98" s="154"/>
      <c r="CL98" s="155"/>
      <c r="CM98" s="155"/>
      <c r="CN98" s="156"/>
      <c r="CO98" s="130"/>
      <c r="CP98" s="130"/>
      <c r="CQ98" s="130"/>
      <c r="CR98" s="130"/>
      <c r="CS98" s="130"/>
      <c r="CT98" s="130"/>
      <c r="CU98" s="130"/>
      <c r="CV98" s="130"/>
      <c r="CW98" s="130"/>
      <c r="CX98" s="130"/>
    </row>
    <row r="99" s="34" customFormat="true" ht="15" hidden="false" customHeight="false" outlineLevel="0" collapsed="false">
      <c r="CK99" s="154"/>
      <c r="CL99" s="155"/>
      <c r="CM99" s="155"/>
      <c r="CN99" s="156"/>
      <c r="CO99" s="130"/>
      <c r="CP99" s="130"/>
      <c r="CQ99" s="130"/>
      <c r="CR99" s="130"/>
      <c r="CS99" s="130"/>
      <c r="CT99" s="130"/>
      <c r="CU99" s="130"/>
      <c r="CV99" s="130"/>
      <c r="CW99" s="130"/>
      <c r="CX99" s="130"/>
    </row>
    <row r="100" s="34" customFormat="true" ht="15" hidden="false" customHeight="false" outlineLevel="0" collapsed="false">
      <c r="CK100" s="157"/>
      <c r="CL100" s="158"/>
      <c r="CM100" s="158"/>
      <c r="CN100" s="159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</row>
    <row r="101" s="34" customFormat="true" ht="15" hidden="false" customHeight="false" outlineLevel="0" collapsed="false">
      <c r="CK101" s="160"/>
      <c r="CL101" s="160"/>
      <c r="CM101" s="160"/>
      <c r="CN101" s="161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</row>
    <row r="102" s="34" customFormat="true" ht="15" hidden="false" customHeight="false" outlineLevel="0" collapsed="false">
      <c r="CK102" s="162"/>
      <c r="CL102" s="162"/>
      <c r="CM102" s="163"/>
      <c r="CN102" s="164"/>
      <c r="CO102" s="66"/>
      <c r="CP102" s="165"/>
      <c r="CQ102" s="66"/>
      <c r="CR102" s="165"/>
      <c r="CS102" s="66"/>
      <c r="CT102" s="165"/>
      <c r="CU102" s="66"/>
      <c r="CV102" s="165"/>
      <c r="CW102" s="66"/>
      <c r="CX102" s="165"/>
    </row>
    <row r="103" customFormat="false" ht="15" hidden="false" customHeight="false" outlineLevel="0" collapsed="false">
      <c r="CK103" s="166"/>
      <c r="CL103" s="166"/>
      <c r="CM103" s="163"/>
      <c r="CN103" s="164"/>
      <c r="CO103" s="66"/>
      <c r="CP103" s="165"/>
      <c r="CQ103" s="66"/>
      <c r="CR103" s="165"/>
      <c r="CS103" s="66"/>
      <c r="CT103" s="165"/>
      <c r="CU103" s="66"/>
      <c r="CV103" s="165"/>
      <c r="CW103" s="66"/>
      <c r="CX103" s="165"/>
    </row>
    <row r="104" customFormat="false" ht="15" hidden="false" customHeight="false" outlineLevel="0" collapsed="false">
      <c r="CK104" s="166"/>
      <c r="CL104" s="166"/>
      <c r="CM104" s="163"/>
      <c r="CN104" s="164"/>
      <c r="CO104" s="66"/>
      <c r="CP104" s="165"/>
      <c r="CQ104" s="66"/>
      <c r="CR104" s="165"/>
      <c r="CS104" s="66"/>
      <c r="CT104" s="165"/>
      <c r="CU104" s="66"/>
      <c r="CV104" s="165"/>
      <c r="CW104" s="66"/>
      <c r="CX104" s="165"/>
    </row>
    <row r="105" customFormat="false" ht="15" hidden="false" customHeight="false" outlineLevel="0" collapsed="false">
      <c r="CK105" s="166"/>
      <c r="CL105" s="167"/>
      <c r="CM105" s="163"/>
      <c r="CN105" s="164"/>
      <c r="CO105" s="66"/>
      <c r="CP105" s="165"/>
      <c r="CQ105" s="66"/>
      <c r="CR105" s="165"/>
      <c r="CS105" s="66"/>
      <c r="CT105" s="165"/>
      <c r="CU105" s="66"/>
      <c r="CV105" s="165"/>
      <c r="CW105" s="66"/>
      <c r="CX105" s="165"/>
    </row>
    <row r="106" customFormat="false" ht="15" hidden="false" customHeight="false" outlineLevel="0" collapsed="false">
      <c r="CK106" s="166"/>
      <c r="CL106" s="162"/>
      <c r="CM106" s="163"/>
      <c r="CN106" s="164"/>
      <c r="CO106" s="66"/>
      <c r="CP106" s="165"/>
      <c r="CQ106" s="66"/>
      <c r="CR106" s="165"/>
      <c r="CS106" s="66"/>
      <c r="CT106" s="165"/>
      <c r="CU106" s="66"/>
      <c r="CV106" s="165"/>
      <c r="CW106" s="66"/>
      <c r="CX106" s="165"/>
    </row>
    <row r="107" customFormat="false" ht="15" hidden="false" customHeight="false" outlineLevel="0" collapsed="false">
      <c r="CK107" s="166"/>
      <c r="CL107" s="166"/>
      <c r="CM107" s="163"/>
      <c r="CN107" s="164"/>
      <c r="CO107" s="66"/>
      <c r="CP107" s="165"/>
      <c r="CQ107" s="66"/>
      <c r="CR107" s="165"/>
      <c r="CS107" s="66"/>
      <c r="CT107" s="165"/>
      <c r="CU107" s="66"/>
      <c r="CV107" s="165"/>
      <c r="CW107" s="66"/>
      <c r="CX107" s="165"/>
    </row>
    <row r="108" customFormat="false" ht="15" hidden="false" customHeight="false" outlineLevel="0" collapsed="false">
      <c r="CK108" s="166"/>
      <c r="CL108" s="166"/>
      <c r="CM108" s="163"/>
      <c r="CN108" s="164"/>
      <c r="CO108" s="66"/>
      <c r="CP108" s="165"/>
      <c r="CQ108" s="66"/>
      <c r="CR108" s="165"/>
      <c r="CS108" s="66"/>
      <c r="CT108" s="165"/>
      <c r="CU108" s="66"/>
      <c r="CV108" s="165"/>
      <c r="CW108" s="66"/>
      <c r="CX108" s="165"/>
    </row>
    <row r="109" customFormat="false" ht="15" hidden="false" customHeight="false" outlineLevel="0" collapsed="false">
      <c r="CK109" s="167"/>
      <c r="CL109" s="167"/>
      <c r="CM109" s="163"/>
      <c r="CN109" s="164"/>
      <c r="CO109" s="66"/>
      <c r="CP109" s="165"/>
      <c r="CQ109" s="66"/>
      <c r="CR109" s="165"/>
      <c r="CS109" s="66"/>
      <c r="CT109" s="165"/>
      <c r="CU109" s="66"/>
      <c r="CV109" s="165"/>
      <c r="CW109" s="66"/>
      <c r="CX109" s="165"/>
    </row>
    <row r="110" customFormat="false" ht="15" hidden="false" customHeight="false" outlineLevel="0" collapsed="false">
      <c r="CK110" s="162"/>
      <c r="CL110" s="162"/>
      <c r="CM110" s="163"/>
      <c r="CN110" s="164"/>
      <c r="CO110" s="66"/>
      <c r="CP110" s="165"/>
      <c r="CQ110" s="66"/>
      <c r="CR110" s="165"/>
      <c r="CS110" s="66"/>
      <c r="CT110" s="165"/>
      <c r="CU110" s="66"/>
      <c r="CV110" s="165"/>
      <c r="CW110" s="66"/>
      <c r="CX110" s="165"/>
    </row>
    <row r="111" customFormat="false" ht="15" hidden="false" customHeight="false" outlineLevel="0" collapsed="false">
      <c r="CK111" s="166"/>
      <c r="CL111" s="166"/>
      <c r="CM111" s="163"/>
      <c r="CN111" s="164"/>
      <c r="CO111" s="66"/>
      <c r="CP111" s="165"/>
      <c r="CQ111" s="66"/>
      <c r="CR111" s="165"/>
      <c r="CS111" s="66"/>
      <c r="CT111" s="165"/>
      <c r="CU111" s="66"/>
      <c r="CV111" s="165"/>
      <c r="CW111" s="66"/>
      <c r="CX111" s="165"/>
    </row>
    <row r="112" customFormat="false" ht="15" hidden="false" customHeight="false" outlineLevel="0" collapsed="false">
      <c r="CK112" s="166"/>
      <c r="CL112" s="166"/>
      <c r="CM112" s="163"/>
      <c r="CN112" s="164"/>
      <c r="CO112" s="66"/>
      <c r="CP112" s="165"/>
      <c r="CQ112" s="66"/>
      <c r="CR112" s="165"/>
      <c r="CS112" s="66"/>
      <c r="CT112" s="165"/>
      <c r="CU112" s="66"/>
      <c r="CV112" s="165"/>
      <c r="CW112" s="66"/>
      <c r="CX112" s="165"/>
    </row>
    <row r="113" customFormat="false" ht="15" hidden="false" customHeight="false" outlineLevel="0" collapsed="false">
      <c r="CK113" s="166"/>
      <c r="CL113" s="167"/>
      <c r="CM113" s="163"/>
      <c r="CN113" s="164"/>
      <c r="CO113" s="66"/>
      <c r="CP113" s="165"/>
      <c r="CQ113" s="66"/>
      <c r="CR113" s="165"/>
      <c r="CS113" s="66"/>
      <c r="CT113" s="165"/>
      <c r="CU113" s="66"/>
      <c r="CV113" s="165"/>
      <c r="CW113" s="66"/>
      <c r="CX113" s="165"/>
    </row>
    <row r="114" customFormat="false" ht="15" hidden="false" customHeight="false" outlineLevel="0" collapsed="false">
      <c r="CK114" s="166"/>
      <c r="CL114" s="162"/>
      <c r="CM114" s="163"/>
      <c r="CN114" s="164"/>
      <c r="CO114" s="66"/>
      <c r="CP114" s="165"/>
      <c r="CQ114" s="66"/>
      <c r="CR114" s="165"/>
      <c r="CS114" s="66"/>
      <c r="CT114" s="165"/>
      <c r="CU114" s="66"/>
      <c r="CV114" s="165"/>
      <c r="CW114" s="66"/>
      <c r="CX114" s="165"/>
    </row>
    <row r="115" customFormat="false" ht="15" hidden="false" customHeight="false" outlineLevel="0" collapsed="false">
      <c r="CK115" s="166"/>
      <c r="CL115" s="166"/>
      <c r="CM115" s="163"/>
      <c r="CN115" s="164"/>
      <c r="CO115" s="66"/>
      <c r="CP115" s="165"/>
      <c r="CQ115" s="66"/>
      <c r="CR115" s="165"/>
      <c r="CS115" s="66"/>
      <c r="CT115" s="165"/>
      <c r="CU115" s="66"/>
      <c r="CV115" s="165"/>
      <c r="CW115" s="66"/>
      <c r="CX115" s="165"/>
    </row>
    <row r="116" s="34" customFormat="true" ht="15" hidden="false" customHeight="false" outlineLevel="0" collapsed="false">
      <c r="C116" s="127"/>
      <c r="E116" s="128"/>
      <c r="CK116" s="166"/>
      <c r="CL116" s="166"/>
      <c r="CM116" s="163"/>
      <c r="CN116" s="164"/>
      <c r="CO116" s="66"/>
      <c r="CP116" s="165"/>
      <c r="CQ116" s="66"/>
      <c r="CR116" s="165"/>
      <c r="CS116" s="66"/>
      <c r="CT116" s="165"/>
      <c r="CU116" s="66"/>
      <c r="CV116" s="165"/>
      <c r="CW116" s="66"/>
      <c r="CX116" s="165"/>
    </row>
    <row r="117" customFormat="false" ht="15" hidden="false" customHeight="false" outlineLevel="0" collapsed="false">
      <c r="CK117" s="167"/>
      <c r="CL117" s="167"/>
      <c r="CM117" s="163"/>
      <c r="CN117" s="164"/>
      <c r="CO117" s="66"/>
      <c r="CP117" s="165"/>
      <c r="CQ117" s="66"/>
      <c r="CR117" s="165"/>
      <c r="CS117" s="66"/>
      <c r="CT117" s="165"/>
      <c r="CU117" s="66"/>
      <c r="CV117" s="165"/>
      <c r="CW117" s="66"/>
      <c r="CX117" s="165"/>
    </row>
    <row r="118" customFormat="false" ht="15" hidden="false" customHeight="false" outlineLevel="0" collapsed="false">
      <c r="CK118" s="162"/>
      <c r="CL118" s="162"/>
      <c r="CM118" s="163"/>
      <c r="CN118" s="164"/>
      <c r="CO118" s="66"/>
      <c r="CP118" s="165"/>
      <c r="CQ118" s="66"/>
      <c r="CR118" s="165"/>
      <c r="CS118" s="66"/>
      <c r="CT118" s="165"/>
      <c r="CU118" s="66"/>
      <c r="CV118" s="165"/>
      <c r="CW118" s="66"/>
      <c r="CX118" s="165"/>
    </row>
    <row r="119" s="34" customFormat="true" ht="15" hidden="false" customHeight="false" outlineLevel="0" collapsed="false">
      <c r="CK119" s="167"/>
      <c r="CL119" s="167"/>
      <c r="CM119" s="163"/>
      <c r="CN119" s="164"/>
      <c r="CO119" s="66"/>
      <c r="CP119" s="165"/>
      <c r="CQ119" s="66"/>
      <c r="CR119" s="165"/>
      <c r="CS119" s="66"/>
      <c r="CT119" s="165"/>
      <c r="CU119" s="66"/>
      <c r="CV119" s="165"/>
      <c r="CW119" s="66"/>
      <c r="CX119" s="165"/>
    </row>
    <row r="120" s="34" customFormat="true" ht="15" hidden="false" customHeight="false" outlineLevel="0" collapsed="false">
      <c r="CK120" s="162"/>
      <c r="CL120" s="162"/>
      <c r="CM120" s="163"/>
      <c r="CN120" s="164"/>
      <c r="CO120" s="66"/>
      <c r="CP120" s="165"/>
      <c r="CQ120" s="66"/>
      <c r="CR120" s="165"/>
      <c r="CS120" s="66"/>
      <c r="CT120" s="165"/>
      <c r="CU120" s="66"/>
      <c r="CV120" s="165"/>
      <c r="CW120" s="66"/>
      <c r="CX120" s="165"/>
    </row>
    <row r="121" s="34" customFormat="true" ht="15" hidden="false" customHeight="false" outlineLevel="0" collapsed="false">
      <c r="CK121" s="167"/>
      <c r="CL121" s="167"/>
      <c r="CM121" s="163"/>
      <c r="CN121" s="164"/>
      <c r="CO121" s="66"/>
      <c r="CP121" s="165"/>
      <c r="CQ121" s="66"/>
      <c r="CR121" s="165"/>
      <c r="CS121" s="66"/>
      <c r="CT121" s="165"/>
      <c r="CU121" s="66"/>
      <c r="CV121" s="165"/>
      <c r="CW121" s="66"/>
      <c r="CX121" s="165"/>
    </row>
    <row r="122" s="34" customFormat="true" ht="15" hidden="false" customHeight="false" outlineLevel="0" collapsed="false">
      <c r="CK122" s="160"/>
      <c r="CL122" s="160"/>
      <c r="CM122" s="163"/>
      <c r="CN122" s="164"/>
      <c r="CO122" s="66"/>
      <c r="CP122" s="165"/>
      <c r="CQ122" s="66"/>
      <c r="CR122" s="165"/>
      <c r="CS122" s="66"/>
      <c r="CT122" s="165"/>
      <c r="CU122" s="66"/>
      <c r="CV122" s="165"/>
      <c r="CW122" s="66"/>
      <c r="CX122" s="165"/>
    </row>
    <row r="123" s="34" customFormat="true" ht="15" hidden="false" customHeight="false" outlineLevel="0" collapsed="false">
      <c r="CK123" s="160"/>
      <c r="CL123" s="160"/>
      <c r="CM123" s="163"/>
      <c r="CN123" s="164"/>
      <c r="CO123" s="66"/>
      <c r="CP123" s="165"/>
      <c r="CQ123" s="66"/>
      <c r="CR123" s="165"/>
      <c r="CS123" s="66"/>
      <c r="CT123" s="165"/>
      <c r="CU123" s="66"/>
      <c r="CV123" s="165"/>
      <c r="CW123" s="66"/>
      <c r="CX123" s="165"/>
    </row>
    <row r="124" s="34" customFormat="true" ht="15" hidden="false" customHeight="false" outlineLevel="0" collapsed="false">
      <c r="CK124" s="168"/>
      <c r="CL124" s="168"/>
      <c r="CM124" s="163"/>
      <c r="CN124" s="164"/>
      <c r="CO124" s="66"/>
      <c r="CP124" s="165"/>
      <c r="CQ124" s="66"/>
      <c r="CR124" s="165"/>
      <c r="CS124" s="66"/>
      <c r="CT124" s="165"/>
      <c r="CU124" s="66"/>
      <c r="CV124" s="165"/>
      <c r="CW124" s="66"/>
      <c r="CX124" s="165"/>
    </row>
    <row r="125" s="34" customFormat="true" ht="15" hidden="false" customHeight="false" outlineLevel="0" collapsed="false">
      <c r="CK125" s="169"/>
      <c r="CL125" s="169"/>
      <c r="CM125" s="163"/>
      <c r="CN125" s="164"/>
      <c r="CO125" s="66"/>
      <c r="CP125" s="165"/>
      <c r="CQ125" s="66"/>
      <c r="CR125" s="165"/>
      <c r="CS125" s="66"/>
      <c r="CT125" s="165"/>
      <c r="CU125" s="66"/>
      <c r="CV125" s="165"/>
      <c r="CW125" s="66"/>
      <c r="CX125" s="165"/>
    </row>
    <row r="126" s="34" customFormat="true" ht="15" hidden="false" customHeight="false" outlineLevel="0" collapsed="false">
      <c r="CK126" s="162"/>
      <c r="CL126" s="162"/>
      <c r="CM126" s="163"/>
      <c r="CN126" s="164"/>
      <c r="CO126" s="66"/>
      <c r="CP126" s="165"/>
      <c r="CQ126" s="66"/>
      <c r="CR126" s="165"/>
      <c r="CS126" s="66"/>
      <c r="CT126" s="165"/>
      <c r="CU126" s="66"/>
      <c r="CV126" s="165"/>
      <c r="CW126" s="66"/>
      <c r="CX126" s="165"/>
    </row>
    <row r="127" s="34" customFormat="true" ht="15" hidden="false" customHeight="false" outlineLevel="0" collapsed="false">
      <c r="CK127" s="167"/>
      <c r="CL127" s="167"/>
      <c r="CM127" s="163"/>
      <c r="CN127" s="164"/>
      <c r="CO127" s="66"/>
      <c r="CP127" s="165"/>
      <c r="CQ127" s="66"/>
      <c r="CR127" s="165"/>
      <c r="CS127" s="66"/>
      <c r="CT127" s="165"/>
      <c r="CU127" s="66"/>
      <c r="CV127" s="165"/>
      <c r="CW127" s="66"/>
      <c r="CX127" s="165"/>
    </row>
    <row r="128" s="34" customFormat="true" ht="15" hidden="false" customHeight="false" outlineLevel="0" collapsed="false">
      <c r="CK128" s="160"/>
      <c r="CL128" s="160"/>
      <c r="CM128" s="163"/>
      <c r="CN128" s="164"/>
      <c r="CO128" s="66"/>
      <c r="CP128" s="165"/>
      <c r="CQ128" s="66"/>
      <c r="CR128" s="165"/>
      <c r="CS128" s="66"/>
      <c r="CT128" s="165"/>
      <c r="CU128" s="66"/>
      <c r="CV128" s="165"/>
      <c r="CW128" s="66"/>
      <c r="CX128" s="165"/>
    </row>
    <row r="129" s="34" customFormat="true" ht="15" hidden="false" customHeight="false" outlineLevel="0" collapsed="false">
      <c r="CK129" s="170"/>
      <c r="CL129" s="160"/>
      <c r="CM129" s="163"/>
      <c r="CN129" s="164"/>
      <c r="CO129" s="66"/>
      <c r="CP129" s="165"/>
      <c r="CQ129" s="66"/>
      <c r="CR129" s="165"/>
      <c r="CS129" s="66"/>
      <c r="CT129" s="165"/>
      <c r="CU129" s="66"/>
      <c r="CV129" s="165"/>
      <c r="CW129" s="66"/>
      <c r="CX129" s="165"/>
    </row>
    <row r="130" s="34" customFormat="true" ht="15" hidden="false" customHeight="false" outlineLevel="0" collapsed="false">
      <c r="CL130" s="127"/>
      <c r="CN130" s="128"/>
    </row>
    <row r="131" s="34" customFormat="true" ht="15" hidden="false" customHeight="false" outlineLevel="0" collapsed="false">
      <c r="CL131" s="127"/>
      <c r="CN131" s="128"/>
    </row>
    <row r="132" s="34" customFormat="true" ht="15" hidden="false" customHeight="false" outlineLevel="0" collapsed="false">
      <c r="CK132" s="125"/>
      <c r="CL132" s="141"/>
      <c r="CM132" s="125"/>
      <c r="CN132" s="171"/>
      <c r="CO132" s="165"/>
      <c r="CP132" s="165"/>
      <c r="CQ132" s="165"/>
      <c r="CR132" s="165"/>
      <c r="CS132" s="165"/>
      <c r="CT132" s="165"/>
      <c r="CU132" s="165"/>
      <c r="CV132" s="165"/>
      <c r="CW132" s="165"/>
      <c r="CX132" s="165"/>
    </row>
    <row r="153" s="34" customFormat="true" ht="15" hidden="false" customHeight="false" outlineLevel="0" collapsed="false">
      <c r="HU153" s="172" t="s">
        <v>66</v>
      </c>
      <c r="HV153" s="172"/>
      <c r="HW153" s="172"/>
      <c r="HX153" s="172"/>
      <c r="HY153" s="130"/>
      <c r="HZ153" s="130"/>
      <c r="IA153" s="130"/>
      <c r="IB153" s="130"/>
      <c r="IC153" s="130"/>
      <c r="ID153" s="130"/>
      <c r="IE153" s="130"/>
      <c r="IF153" s="130"/>
      <c r="IG153" s="130"/>
      <c r="IH153" s="130"/>
    </row>
    <row r="154" s="34" customFormat="true" ht="15" hidden="false" customHeight="false" outlineLevel="0" collapsed="false">
      <c r="HU154" s="172" t="s">
        <v>67</v>
      </c>
      <c r="HV154" s="172"/>
      <c r="HW154" s="172"/>
      <c r="HX154" s="172"/>
      <c r="HY154" s="130"/>
      <c r="HZ154" s="130"/>
      <c r="IA154" s="130"/>
      <c r="IB154" s="130"/>
      <c r="IC154" s="130"/>
      <c r="ID154" s="130"/>
      <c r="IE154" s="130"/>
      <c r="IF154" s="130"/>
      <c r="IG154" s="130"/>
      <c r="IH154" s="130"/>
    </row>
    <row r="155" s="34" customFormat="true" ht="15" hidden="false" customHeight="false" outlineLevel="0" collapsed="false">
      <c r="HU155" s="160" t="s">
        <v>68</v>
      </c>
      <c r="HV155" s="160"/>
      <c r="HW155" s="160"/>
      <c r="HX155" s="160"/>
      <c r="HY155" s="35" t="s">
        <v>14</v>
      </c>
      <c r="HZ155" s="35" t="s">
        <v>15</v>
      </c>
      <c r="IA155" s="35" t="s">
        <v>14</v>
      </c>
      <c r="IB155" s="35" t="s">
        <v>15</v>
      </c>
      <c r="IC155" s="35" t="s">
        <v>14</v>
      </c>
      <c r="ID155" s="35" t="s">
        <v>15</v>
      </c>
      <c r="IE155" s="35" t="s">
        <v>14</v>
      </c>
      <c r="IF155" s="35" t="s">
        <v>15</v>
      </c>
      <c r="IG155" s="35" t="s">
        <v>14</v>
      </c>
      <c r="IH155" s="35" t="s">
        <v>15</v>
      </c>
    </row>
    <row r="156" s="34" customFormat="true" ht="15" hidden="false" customHeight="false" outlineLevel="0" collapsed="false">
      <c r="HU156" s="160" t="s">
        <v>10</v>
      </c>
      <c r="HV156" s="160" t="s">
        <v>11</v>
      </c>
      <c r="HW156" s="160" t="s">
        <v>12</v>
      </c>
      <c r="HX156" s="161" t="s">
        <v>13</v>
      </c>
      <c r="HY156" s="35"/>
      <c r="HZ156" s="35"/>
      <c r="IA156" s="35"/>
      <c r="IB156" s="35"/>
      <c r="IC156" s="35"/>
      <c r="ID156" s="35"/>
      <c r="IE156" s="35"/>
      <c r="IF156" s="35"/>
      <c r="IG156" s="35"/>
      <c r="IH156" s="35"/>
    </row>
    <row r="157" s="34" customFormat="true" ht="15" hidden="false" customHeight="true" outlineLevel="0" collapsed="false">
      <c r="HU157" s="173" t="s">
        <v>17</v>
      </c>
      <c r="HV157" s="173" t="s">
        <v>18</v>
      </c>
      <c r="HW157" s="163" t="s">
        <v>20</v>
      </c>
      <c r="HX157" s="164" t="n">
        <v>1</v>
      </c>
      <c r="HY157" s="66"/>
      <c r="HZ157" s="165" t="n">
        <f aca="false">$HX157*HY157</f>
        <v>0</v>
      </c>
      <c r="IA157" s="66"/>
      <c r="IB157" s="165" t="n">
        <f aca="false">$HX157*IA157</f>
        <v>0</v>
      </c>
      <c r="IC157" s="66"/>
      <c r="ID157" s="165" t="n">
        <f aca="false">$HX157*IC157</f>
        <v>0</v>
      </c>
      <c r="IE157" s="66"/>
      <c r="IF157" s="165" t="n">
        <f aca="false">$HX157*IE157</f>
        <v>0</v>
      </c>
      <c r="IG157" s="66"/>
      <c r="IH157" s="165" t="n">
        <f aca="false">$HX157*IG157</f>
        <v>0</v>
      </c>
    </row>
    <row r="158" s="34" customFormat="true" ht="15" hidden="false" customHeight="false" outlineLevel="0" collapsed="false">
      <c r="HU158" s="173"/>
      <c r="HV158" s="173"/>
      <c r="HW158" s="163" t="s">
        <v>21</v>
      </c>
      <c r="HX158" s="164" t="n">
        <v>2</v>
      </c>
      <c r="HY158" s="66"/>
      <c r="HZ158" s="165"/>
      <c r="IA158" s="66"/>
      <c r="IB158" s="165" t="n">
        <f aca="false">$HX158*IA158</f>
        <v>0</v>
      </c>
      <c r="IC158" s="66"/>
      <c r="ID158" s="165" t="n">
        <f aca="false">$HX158*IC158</f>
        <v>0</v>
      </c>
      <c r="IE158" s="66"/>
      <c r="IF158" s="165" t="n">
        <f aca="false">$HX158*IE158</f>
        <v>0</v>
      </c>
      <c r="IG158" s="66"/>
      <c r="IH158" s="165" t="n">
        <f aca="false">$HX158*IG158</f>
        <v>0</v>
      </c>
    </row>
    <row r="159" s="34" customFormat="true" ht="15" hidden="false" customHeight="false" outlineLevel="0" collapsed="false">
      <c r="HU159" s="173"/>
      <c r="HV159" s="173"/>
      <c r="HW159" s="163" t="s">
        <v>22</v>
      </c>
      <c r="HX159" s="164" t="n">
        <v>30</v>
      </c>
      <c r="HY159" s="66"/>
      <c r="HZ159" s="165" t="n">
        <f aca="false">$HX159*HY159</f>
        <v>0</v>
      </c>
      <c r="IA159" s="66"/>
      <c r="IB159" s="165"/>
      <c r="IC159" s="66"/>
      <c r="ID159" s="165" t="n">
        <f aca="false">$HX159*IC159</f>
        <v>0</v>
      </c>
      <c r="IE159" s="66"/>
      <c r="IF159" s="165" t="n">
        <f aca="false">$HX159*IE159</f>
        <v>0</v>
      </c>
      <c r="IG159" s="66"/>
      <c r="IH159" s="165" t="n">
        <f aca="false">$HX159*IG159</f>
        <v>0</v>
      </c>
    </row>
    <row r="160" s="34" customFormat="true" ht="15" hidden="false" customHeight="false" outlineLevel="0" collapsed="false">
      <c r="HU160" s="173"/>
      <c r="HV160" s="173"/>
      <c r="HW160" s="163" t="s">
        <v>23</v>
      </c>
      <c r="HX160" s="164" t="n">
        <v>40</v>
      </c>
      <c r="HY160" s="66"/>
      <c r="HZ160" s="165" t="n">
        <f aca="false">$HX160*HY160</f>
        <v>0</v>
      </c>
      <c r="IA160" s="66"/>
      <c r="IB160" s="165" t="n">
        <f aca="false">$HX160*IA160</f>
        <v>0</v>
      </c>
      <c r="IC160" s="66"/>
      <c r="ID160" s="165" t="n">
        <f aca="false">$HX160*IC160</f>
        <v>0</v>
      </c>
      <c r="IE160" s="66"/>
      <c r="IF160" s="165" t="n">
        <f aca="false">$HX160*IE160</f>
        <v>0</v>
      </c>
      <c r="IG160" s="66"/>
      <c r="IH160" s="165" t="n">
        <f aca="false">$HX160*IG160</f>
        <v>0</v>
      </c>
    </row>
    <row r="161" s="34" customFormat="true" ht="15" hidden="false" customHeight="true" outlineLevel="0" collapsed="false">
      <c r="HU161" s="173"/>
      <c r="HV161" s="173" t="s">
        <v>24</v>
      </c>
      <c r="HW161" s="163" t="s">
        <v>20</v>
      </c>
      <c r="HX161" s="164" t="n">
        <v>4.5</v>
      </c>
      <c r="HY161" s="66"/>
      <c r="HZ161" s="165" t="n">
        <f aca="false">$HX161*HY161</f>
        <v>0</v>
      </c>
      <c r="IA161" s="66"/>
      <c r="IB161" s="165"/>
      <c r="IC161" s="66"/>
      <c r="ID161" s="165" t="n">
        <f aca="false">$HX161*IC161</f>
        <v>0</v>
      </c>
      <c r="IE161" s="66"/>
      <c r="IF161" s="165" t="n">
        <f aca="false">$HX161*IE161</f>
        <v>0</v>
      </c>
      <c r="IG161" s="66"/>
      <c r="IH161" s="165" t="n">
        <f aca="false">$HX161*IG161</f>
        <v>0</v>
      </c>
    </row>
    <row r="162" s="34" customFormat="true" ht="15" hidden="false" customHeight="false" outlineLevel="0" collapsed="false">
      <c r="HU162" s="173"/>
      <c r="HV162" s="173"/>
      <c r="HW162" s="163" t="s">
        <v>21</v>
      </c>
      <c r="HX162" s="164" t="n">
        <v>9</v>
      </c>
      <c r="HY162" s="66"/>
      <c r="HZ162" s="165" t="n">
        <f aca="false">$HX162*HY162</f>
        <v>0</v>
      </c>
      <c r="IA162" s="66"/>
      <c r="IB162" s="165"/>
      <c r="IC162" s="66"/>
      <c r="ID162" s="165" t="n">
        <f aca="false">$HX162*IC162</f>
        <v>0</v>
      </c>
      <c r="IE162" s="66"/>
      <c r="IF162" s="165" t="n">
        <f aca="false">$HX162*IE162</f>
        <v>0</v>
      </c>
      <c r="IG162" s="66"/>
      <c r="IH162" s="165" t="n">
        <f aca="false">$HX162*IG162</f>
        <v>0</v>
      </c>
    </row>
    <row r="163" s="34" customFormat="true" ht="15" hidden="false" customHeight="false" outlineLevel="0" collapsed="false">
      <c r="HU163" s="173"/>
      <c r="HV163" s="173"/>
      <c r="HW163" s="163" t="s">
        <v>22</v>
      </c>
      <c r="HX163" s="164" t="n">
        <v>50</v>
      </c>
      <c r="HY163" s="66"/>
      <c r="HZ163" s="165" t="n">
        <f aca="false">$HX163*HY163</f>
        <v>0</v>
      </c>
      <c r="IA163" s="66"/>
      <c r="IB163" s="165"/>
      <c r="IC163" s="66"/>
      <c r="ID163" s="165" t="n">
        <f aca="false">$HX163*IC163</f>
        <v>0</v>
      </c>
      <c r="IE163" s="66"/>
      <c r="IF163" s="165" t="n">
        <f aca="false">$HX163*IE163</f>
        <v>0</v>
      </c>
      <c r="IG163" s="66"/>
      <c r="IH163" s="165" t="n">
        <f aca="false">$HX163*IG163</f>
        <v>0</v>
      </c>
    </row>
    <row r="164" s="34" customFormat="true" ht="15" hidden="false" customHeight="false" outlineLevel="0" collapsed="false">
      <c r="HU164" s="173"/>
      <c r="HV164" s="173"/>
      <c r="HW164" s="163" t="s">
        <v>23</v>
      </c>
      <c r="HX164" s="164" t="n">
        <v>70</v>
      </c>
      <c r="HY164" s="66"/>
      <c r="HZ164" s="165" t="n">
        <f aca="false">$HX164*HY164</f>
        <v>0</v>
      </c>
      <c r="IA164" s="66"/>
      <c r="IB164" s="165"/>
      <c r="IC164" s="66"/>
      <c r="ID164" s="165" t="n">
        <f aca="false">$HX164*IC164</f>
        <v>0</v>
      </c>
      <c r="IE164" s="66"/>
      <c r="IF164" s="165" t="n">
        <f aca="false">$HX164*IE164</f>
        <v>0</v>
      </c>
      <c r="IG164" s="66"/>
      <c r="IH164" s="165" t="n">
        <f aca="false">$HX164*IG164</f>
        <v>0</v>
      </c>
    </row>
    <row r="165" s="34" customFormat="true" ht="15" hidden="false" customHeight="true" outlineLevel="0" collapsed="false">
      <c r="HU165" s="173" t="s">
        <v>25</v>
      </c>
      <c r="HV165" s="173" t="s">
        <v>18</v>
      </c>
      <c r="HW165" s="163" t="s">
        <v>20</v>
      </c>
      <c r="HX165" s="164" t="n">
        <v>1.25</v>
      </c>
      <c r="HY165" s="66"/>
      <c r="HZ165" s="165"/>
      <c r="IA165" s="66"/>
      <c r="IB165" s="165" t="n">
        <f aca="false">$HX165*IA165</f>
        <v>0</v>
      </c>
      <c r="IC165" s="66"/>
      <c r="ID165" s="165" t="n">
        <f aca="false">$HX165*IC165</f>
        <v>0</v>
      </c>
      <c r="IE165" s="66"/>
      <c r="IF165" s="165" t="n">
        <f aca="false">$HX165*IE165</f>
        <v>0</v>
      </c>
      <c r="IG165" s="66"/>
      <c r="IH165" s="165" t="n">
        <f aca="false">$HX165*IG165</f>
        <v>0</v>
      </c>
    </row>
    <row r="166" s="34" customFormat="true" ht="15" hidden="false" customHeight="false" outlineLevel="0" collapsed="false">
      <c r="HU166" s="173"/>
      <c r="HV166" s="173"/>
      <c r="HW166" s="163" t="s">
        <v>21</v>
      </c>
      <c r="HX166" s="164" t="n">
        <v>2.5</v>
      </c>
      <c r="HY166" s="66"/>
      <c r="HZ166" s="165" t="n">
        <f aca="false">$HX166*HY166</f>
        <v>0</v>
      </c>
      <c r="IA166" s="66"/>
      <c r="IB166" s="165"/>
      <c r="IC166" s="66"/>
      <c r="ID166" s="165" t="n">
        <f aca="false">$HX166*IC166</f>
        <v>0</v>
      </c>
      <c r="IE166" s="66"/>
      <c r="IF166" s="165" t="n">
        <f aca="false">$HX166*IE166</f>
        <v>0</v>
      </c>
      <c r="IG166" s="66"/>
      <c r="IH166" s="165" t="n">
        <f aca="false">$HX166*IG166</f>
        <v>0</v>
      </c>
    </row>
    <row r="167" s="34" customFormat="true" ht="15" hidden="false" customHeight="false" outlineLevel="0" collapsed="false">
      <c r="HU167" s="173"/>
      <c r="HV167" s="173"/>
      <c r="HW167" s="163" t="s">
        <v>22</v>
      </c>
      <c r="HX167" s="164" t="n">
        <v>40</v>
      </c>
      <c r="HY167" s="66"/>
      <c r="HZ167" s="165" t="n">
        <f aca="false">$HX167*HY167</f>
        <v>0</v>
      </c>
      <c r="IA167" s="66"/>
      <c r="IB167" s="165" t="n">
        <f aca="false">$HX167*IA167</f>
        <v>0</v>
      </c>
      <c r="IC167" s="66"/>
      <c r="ID167" s="165" t="n">
        <f aca="false">$HX167*IC167</f>
        <v>0</v>
      </c>
      <c r="IE167" s="66"/>
      <c r="IF167" s="165" t="n">
        <f aca="false">$HX167*IE167</f>
        <v>0</v>
      </c>
      <c r="IG167" s="66"/>
      <c r="IH167" s="165" t="n">
        <f aca="false">$HX167*IG167</f>
        <v>0</v>
      </c>
    </row>
    <row r="168" s="34" customFormat="true" ht="15" hidden="false" customHeight="false" outlineLevel="0" collapsed="false">
      <c r="HU168" s="173"/>
      <c r="HV168" s="173"/>
      <c r="HW168" s="163" t="s">
        <v>23</v>
      </c>
      <c r="HX168" s="164" t="n">
        <v>60</v>
      </c>
      <c r="HY168" s="66"/>
      <c r="HZ168" s="165" t="n">
        <f aca="false">$HX168*HY168</f>
        <v>0</v>
      </c>
      <c r="IA168" s="66"/>
      <c r="IB168" s="165" t="n">
        <f aca="false">$HX168*IA168</f>
        <v>0</v>
      </c>
      <c r="IC168" s="66"/>
      <c r="ID168" s="165" t="n">
        <f aca="false">$HX168*IC168</f>
        <v>0</v>
      </c>
      <c r="IE168" s="66"/>
      <c r="IF168" s="165" t="n">
        <f aca="false">$HX168*IE168</f>
        <v>0</v>
      </c>
      <c r="IG168" s="66"/>
      <c r="IH168" s="165" t="n">
        <f aca="false">$HX168*IG168</f>
        <v>0</v>
      </c>
    </row>
    <row r="169" s="34" customFormat="true" ht="15" hidden="false" customHeight="true" outlineLevel="0" collapsed="false">
      <c r="HU169" s="173"/>
      <c r="HV169" s="173" t="s">
        <v>24</v>
      </c>
      <c r="HW169" s="163" t="s">
        <v>20</v>
      </c>
      <c r="HX169" s="164" t="n">
        <v>4.75</v>
      </c>
      <c r="HY169" s="66"/>
      <c r="HZ169" s="165" t="n">
        <f aca="false">$HX169*HY169</f>
        <v>0</v>
      </c>
      <c r="IA169" s="66"/>
      <c r="IB169" s="165" t="n">
        <f aca="false">$HX169*IA169</f>
        <v>0</v>
      </c>
      <c r="IC169" s="66"/>
      <c r="ID169" s="165" t="n">
        <f aca="false">$HX169*IC169</f>
        <v>0</v>
      </c>
      <c r="IE169" s="66"/>
      <c r="IF169" s="165" t="n">
        <f aca="false">$HX169*IE169</f>
        <v>0</v>
      </c>
      <c r="IG169" s="66"/>
      <c r="IH169" s="165" t="n">
        <f aca="false">$HX169*IG169</f>
        <v>0</v>
      </c>
    </row>
    <row r="170" s="34" customFormat="true" ht="15" hidden="false" customHeight="false" outlineLevel="0" collapsed="false">
      <c r="HU170" s="173"/>
      <c r="HV170" s="173"/>
      <c r="HW170" s="163" t="s">
        <v>21</v>
      </c>
      <c r="HX170" s="164" t="n">
        <v>9.5</v>
      </c>
      <c r="HY170" s="66"/>
      <c r="HZ170" s="165" t="n">
        <f aca="false">$HX170*HY170</f>
        <v>0</v>
      </c>
      <c r="IA170" s="66"/>
      <c r="IB170" s="165" t="n">
        <f aca="false">$HX170*IA170</f>
        <v>0</v>
      </c>
      <c r="IC170" s="66"/>
      <c r="ID170" s="165" t="n">
        <f aca="false">$HX170*IC170</f>
        <v>0</v>
      </c>
      <c r="IE170" s="66"/>
      <c r="IF170" s="165" t="n">
        <f aca="false">$HX170*IE170</f>
        <v>0</v>
      </c>
      <c r="IG170" s="66"/>
      <c r="IH170" s="165" t="n">
        <f aca="false">$HX170*IG170</f>
        <v>0</v>
      </c>
    </row>
    <row r="171" s="34" customFormat="true" ht="15" hidden="false" customHeight="false" outlineLevel="0" collapsed="false">
      <c r="HU171" s="173"/>
      <c r="HV171" s="173"/>
      <c r="HW171" s="163" t="s">
        <v>22</v>
      </c>
      <c r="HX171" s="164" t="n">
        <v>60</v>
      </c>
      <c r="HY171" s="66"/>
      <c r="HZ171" s="165" t="n">
        <f aca="false">$HX171*HY171</f>
        <v>0</v>
      </c>
      <c r="IA171" s="66"/>
      <c r="IB171" s="165" t="n">
        <f aca="false">$HX171*IA171</f>
        <v>0</v>
      </c>
      <c r="IC171" s="66"/>
      <c r="ID171" s="165" t="n">
        <f aca="false">$HX171*IC171</f>
        <v>0</v>
      </c>
      <c r="IE171" s="66"/>
      <c r="IF171" s="165" t="n">
        <f aca="false">$HX171*IE171</f>
        <v>0</v>
      </c>
      <c r="IG171" s="66"/>
      <c r="IH171" s="165" t="n">
        <f aca="false">$HX171*IG171</f>
        <v>0</v>
      </c>
    </row>
    <row r="172" s="34" customFormat="true" ht="15" hidden="false" customHeight="false" outlineLevel="0" collapsed="false">
      <c r="HU172" s="173"/>
      <c r="HV172" s="173"/>
      <c r="HW172" s="163" t="s">
        <v>23</v>
      </c>
      <c r="HX172" s="164" t="n">
        <v>90</v>
      </c>
      <c r="HY172" s="66"/>
      <c r="HZ172" s="165" t="n">
        <f aca="false">$HX172*HY172</f>
        <v>0</v>
      </c>
      <c r="IA172" s="66"/>
      <c r="IB172" s="165" t="n">
        <f aca="false">$HX172*IA172</f>
        <v>0</v>
      </c>
      <c r="IC172" s="66"/>
      <c r="ID172" s="165" t="n">
        <f aca="false">$HX172*IC172</f>
        <v>0</v>
      </c>
      <c r="IE172" s="66"/>
      <c r="IF172" s="165" t="n">
        <f aca="false">$HX172*IE172</f>
        <v>0</v>
      </c>
      <c r="IG172" s="66"/>
      <c r="IH172" s="165" t="n">
        <f aca="false">$HX172*IG172</f>
        <v>0</v>
      </c>
    </row>
    <row r="173" s="34" customFormat="true" ht="15" hidden="false" customHeight="true" outlineLevel="0" collapsed="false">
      <c r="HU173" s="173" t="s">
        <v>69</v>
      </c>
      <c r="HV173" s="173" t="s">
        <v>24</v>
      </c>
      <c r="HW173" s="163" t="s">
        <v>20</v>
      </c>
      <c r="HX173" s="164" t="n">
        <v>12</v>
      </c>
      <c r="HY173" s="66"/>
      <c r="HZ173" s="165" t="n">
        <f aca="false">$HX173*HY173</f>
        <v>0</v>
      </c>
      <c r="IA173" s="66"/>
      <c r="IB173" s="165" t="n">
        <f aca="false">$HX173*IA173</f>
        <v>0</v>
      </c>
      <c r="IC173" s="66"/>
      <c r="ID173" s="165" t="n">
        <f aca="false">$HX173*IC173</f>
        <v>0</v>
      </c>
      <c r="IE173" s="66"/>
      <c r="IF173" s="165" t="n">
        <f aca="false">$HX173*IE173</f>
        <v>0</v>
      </c>
      <c r="IG173" s="66"/>
      <c r="IH173" s="165" t="n">
        <f aca="false">$HX173*IG173</f>
        <v>0</v>
      </c>
    </row>
    <row r="174" s="34" customFormat="true" ht="15" hidden="false" customHeight="false" outlineLevel="0" collapsed="false">
      <c r="HU174" s="173"/>
      <c r="HV174" s="173"/>
      <c r="HW174" s="163" t="s">
        <v>21</v>
      </c>
      <c r="HX174" s="164" t="n">
        <v>24</v>
      </c>
      <c r="HY174" s="66"/>
      <c r="HZ174" s="165" t="n">
        <f aca="false">$HX174*HY174</f>
        <v>0</v>
      </c>
      <c r="IA174" s="66"/>
      <c r="IB174" s="165" t="n">
        <f aca="false">$HX174*IA174</f>
        <v>0</v>
      </c>
      <c r="IC174" s="66"/>
      <c r="ID174" s="165" t="n">
        <f aca="false">$HX174*IC174</f>
        <v>0</v>
      </c>
      <c r="IE174" s="66"/>
      <c r="IF174" s="165" t="n">
        <f aca="false">$HX174*IE174</f>
        <v>0</v>
      </c>
      <c r="IG174" s="66"/>
      <c r="IH174" s="165" t="n">
        <f aca="false">$HX174*IG174</f>
        <v>0</v>
      </c>
    </row>
    <row r="175" s="34" customFormat="true" ht="15" hidden="false" customHeight="true" outlineLevel="0" collapsed="false">
      <c r="HU175" s="173" t="s">
        <v>70</v>
      </c>
      <c r="HV175" s="173" t="s">
        <v>24</v>
      </c>
      <c r="HW175" s="163" t="s">
        <v>20</v>
      </c>
      <c r="HX175" s="164" t="n">
        <v>15</v>
      </c>
      <c r="HY175" s="66"/>
      <c r="HZ175" s="165" t="n">
        <f aca="false">$HX175*HY175</f>
        <v>0</v>
      </c>
      <c r="IA175" s="66"/>
      <c r="IB175" s="165" t="n">
        <f aca="false">$HX175*IA175</f>
        <v>0</v>
      </c>
      <c r="IC175" s="66"/>
      <c r="ID175" s="165" t="n">
        <f aca="false">$HX175*IC175</f>
        <v>0</v>
      </c>
      <c r="IE175" s="66"/>
      <c r="IF175" s="165" t="n">
        <f aca="false">$HX175*IE175</f>
        <v>0</v>
      </c>
      <c r="IG175" s="66"/>
      <c r="IH175" s="165" t="n">
        <f aca="false">$HX175*IG175</f>
        <v>0</v>
      </c>
    </row>
    <row r="176" s="34" customFormat="true" ht="15" hidden="false" customHeight="false" outlineLevel="0" collapsed="false">
      <c r="HU176" s="173"/>
      <c r="HV176" s="173"/>
      <c r="HW176" s="163" t="s">
        <v>21</v>
      </c>
      <c r="HX176" s="164" t="n">
        <v>30</v>
      </c>
      <c r="HY176" s="66"/>
      <c r="HZ176" s="165" t="n">
        <f aca="false">$HX176*HY176</f>
        <v>0</v>
      </c>
      <c r="IA176" s="66"/>
      <c r="IB176" s="165" t="n">
        <f aca="false">$HX176*IA176</f>
        <v>0</v>
      </c>
      <c r="IC176" s="66"/>
      <c r="ID176" s="165" t="n">
        <f aca="false">$HX176*IC176</f>
        <v>0</v>
      </c>
      <c r="IE176" s="66"/>
      <c r="IF176" s="165" t="n">
        <f aca="false">$HX176*IE176</f>
        <v>0</v>
      </c>
      <c r="IG176" s="66"/>
      <c r="IH176" s="165" t="n">
        <f aca="false">$HX176*IG176</f>
        <v>0</v>
      </c>
    </row>
    <row r="177" s="34" customFormat="true" ht="15" hidden="false" customHeight="false" outlineLevel="0" collapsed="false">
      <c r="HU177" s="160" t="s">
        <v>71</v>
      </c>
      <c r="HV177" s="160" t="s">
        <v>18</v>
      </c>
      <c r="HW177" s="163" t="s">
        <v>20</v>
      </c>
      <c r="HX177" s="164" t="n">
        <v>3</v>
      </c>
      <c r="HY177" s="66"/>
      <c r="HZ177" s="165" t="n">
        <f aca="false">$HX177*HY177</f>
        <v>0</v>
      </c>
      <c r="IA177" s="66"/>
      <c r="IB177" s="165" t="n">
        <f aca="false">$HX177*IA177</f>
        <v>0</v>
      </c>
      <c r="IC177" s="66"/>
      <c r="ID177" s="165" t="n">
        <f aca="false">$HX177*IC177</f>
        <v>0</v>
      </c>
      <c r="IE177" s="66"/>
      <c r="IF177" s="165" t="n">
        <f aca="false">$HX177*IE177</f>
        <v>0</v>
      </c>
      <c r="IG177" s="66"/>
      <c r="IH177" s="165" t="n">
        <f aca="false">$HX177*IG177</f>
        <v>0</v>
      </c>
    </row>
    <row r="178" s="34" customFormat="true" ht="15" hidden="false" customHeight="false" outlineLevel="0" collapsed="false">
      <c r="HU178" s="160" t="s">
        <v>72</v>
      </c>
      <c r="HV178" s="160" t="s">
        <v>18</v>
      </c>
      <c r="HW178" s="163" t="s">
        <v>20</v>
      </c>
      <c r="HX178" s="164" t="n">
        <v>3</v>
      </c>
      <c r="HY178" s="66"/>
      <c r="HZ178" s="165" t="n">
        <f aca="false">$HX178*HY178</f>
        <v>0</v>
      </c>
      <c r="IA178" s="66"/>
      <c r="IB178" s="165" t="n">
        <f aca="false">$HX178*IA178</f>
        <v>0</v>
      </c>
      <c r="IC178" s="66"/>
      <c r="ID178" s="165" t="n">
        <f aca="false">$HX178*IC178</f>
        <v>0</v>
      </c>
      <c r="IE178" s="66"/>
      <c r="IF178" s="165" t="n">
        <f aca="false">$HX178*IE178</f>
        <v>0</v>
      </c>
      <c r="IG178" s="66"/>
      <c r="IH178" s="165" t="n">
        <f aca="false">$HX178*IG178</f>
        <v>0</v>
      </c>
    </row>
    <row r="179" s="34" customFormat="true" ht="15" hidden="false" customHeight="false" outlineLevel="0" collapsed="false">
      <c r="HU179" s="35" t="s">
        <v>73</v>
      </c>
      <c r="HV179" s="35" t="s">
        <v>74</v>
      </c>
      <c r="HW179" s="163" t="s">
        <v>20</v>
      </c>
      <c r="HX179" s="164" t="n">
        <v>10</v>
      </c>
      <c r="HY179" s="66"/>
      <c r="HZ179" s="165" t="n">
        <f aca="false">$HX179*HY179</f>
        <v>0</v>
      </c>
      <c r="IA179" s="66"/>
      <c r="IB179" s="165" t="n">
        <f aca="false">$HX179*IA179</f>
        <v>0</v>
      </c>
      <c r="IC179" s="66"/>
      <c r="ID179" s="165" t="n">
        <f aca="false">$HX179*IC179</f>
        <v>0</v>
      </c>
      <c r="IE179" s="66"/>
      <c r="IF179" s="165" t="n">
        <f aca="false">$HX179*IE179</f>
        <v>0</v>
      </c>
      <c r="IG179" s="66"/>
      <c r="IH179" s="165" t="n">
        <f aca="false">$HX179*IG179</f>
        <v>0</v>
      </c>
    </row>
    <row r="180" s="34" customFormat="true" ht="15" hidden="false" customHeight="false" outlineLevel="0" collapsed="false">
      <c r="HU180" s="35"/>
      <c r="HV180" s="35"/>
      <c r="HW180" s="163" t="s">
        <v>21</v>
      </c>
      <c r="HX180" s="164" t="n">
        <v>20</v>
      </c>
      <c r="HY180" s="66"/>
      <c r="HZ180" s="165" t="n">
        <f aca="false">$HX180*HY180</f>
        <v>0</v>
      </c>
      <c r="IA180" s="66"/>
      <c r="IB180" s="165" t="n">
        <f aca="false">$HX180*IA180</f>
        <v>0</v>
      </c>
      <c r="IC180" s="66"/>
      <c r="ID180" s="165" t="n">
        <f aca="false">$HX180*IC180</f>
        <v>0</v>
      </c>
      <c r="IE180" s="66"/>
      <c r="IF180" s="165" t="n">
        <f aca="false">$HX180*IE180</f>
        <v>0</v>
      </c>
      <c r="IG180" s="66"/>
      <c r="IH180" s="165" t="n">
        <f aca="false">$HX180*IG180</f>
        <v>0</v>
      </c>
    </row>
    <row r="181" s="34" customFormat="true" ht="15" hidden="false" customHeight="true" outlineLevel="0" collapsed="false">
      <c r="HU181" s="173" t="s">
        <v>75</v>
      </c>
      <c r="HV181" s="173" t="s">
        <v>24</v>
      </c>
      <c r="HW181" s="163" t="s">
        <v>20</v>
      </c>
      <c r="HX181" s="164" t="n">
        <v>15</v>
      </c>
      <c r="HY181" s="66"/>
      <c r="HZ181" s="165" t="n">
        <f aca="false">$HX181*HY181</f>
        <v>0</v>
      </c>
      <c r="IA181" s="66"/>
      <c r="IB181" s="165" t="n">
        <f aca="false">$HX181*IA181</f>
        <v>0</v>
      </c>
      <c r="IC181" s="66"/>
      <c r="ID181" s="165" t="n">
        <f aca="false">$HX181*IC181</f>
        <v>0</v>
      </c>
      <c r="IE181" s="66"/>
      <c r="IF181" s="165" t="n">
        <f aca="false">$HX181*IE181</f>
        <v>0</v>
      </c>
      <c r="IG181" s="66"/>
      <c r="IH181" s="165" t="n">
        <f aca="false">$HX181*IG181</f>
        <v>0</v>
      </c>
    </row>
    <row r="182" s="34" customFormat="true" ht="15" hidden="false" customHeight="false" outlineLevel="0" collapsed="false">
      <c r="HU182" s="173"/>
      <c r="HV182" s="173"/>
      <c r="HW182" s="163" t="s">
        <v>21</v>
      </c>
      <c r="HX182" s="164" t="n">
        <v>30</v>
      </c>
      <c r="HY182" s="66"/>
      <c r="HZ182" s="165" t="n">
        <f aca="false">$HX182*HY182</f>
        <v>0</v>
      </c>
      <c r="IA182" s="66"/>
      <c r="IB182" s="165" t="n">
        <f aca="false">$HX182*IA182</f>
        <v>0</v>
      </c>
      <c r="IC182" s="66"/>
      <c r="ID182" s="165" t="n">
        <f aca="false">$HX182*IC182</f>
        <v>0</v>
      </c>
      <c r="IE182" s="66"/>
      <c r="IF182" s="165" t="n">
        <f aca="false">$HX182*IE182</f>
        <v>0</v>
      </c>
      <c r="IG182" s="66"/>
      <c r="IH182" s="165" t="n">
        <f aca="false">$HX182*IG182</f>
        <v>0</v>
      </c>
    </row>
    <row r="183" s="34" customFormat="true" ht="15" hidden="false" customHeight="false" outlineLevel="0" collapsed="false">
      <c r="HU183" s="160" t="s">
        <v>54</v>
      </c>
      <c r="HV183" s="160" t="s">
        <v>74</v>
      </c>
      <c r="HW183" s="163" t="s">
        <v>21</v>
      </c>
      <c r="HX183" s="164" t="n">
        <v>20</v>
      </c>
      <c r="HY183" s="66"/>
      <c r="HZ183" s="165" t="n">
        <f aca="false">$HX183*HY183</f>
        <v>0</v>
      </c>
      <c r="IA183" s="66"/>
      <c r="IB183" s="165" t="n">
        <f aca="false">$HX183*IA183</f>
        <v>0</v>
      </c>
      <c r="IC183" s="66"/>
      <c r="ID183" s="165" t="n">
        <f aca="false">$HX183*IC183</f>
        <v>0</v>
      </c>
      <c r="IE183" s="66"/>
      <c r="IF183" s="165" t="n">
        <f aca="false">$HX183*IE183</f>
        <v>0</v>
      </c>
      <c r="IG183" s="66"/>
      <c r="IH183" s="165" t="n">
        <f aca="false">$HX183*IG183</f>
        <v>0</v>
      </c>
    </row>
    <row r="184" s="34" customFormat="true" ht="15" hidden="false" customHeight="false" outlineLevel="0" collapsed="false">
      <c r="HU184" s="170" t="s">
        <v>76</v>
      </c>
      <c r="HV184" s="160" t="s">
        <v>77</v>
      </c>
      <c r="HW184" s="163" t="s">
        <v>20</v>
      </c>
      <c r="HX184" s="164" t="n">
        <v>25</v>
      </c>
      <c r="HY184" s="66"/>
      <c r="HZ184" s="165" t="n">
        <f aca="false">$HX184*HY184</f>
        <v>0</v>
      </c>
      <c r="IA184" s="66"/>
      <c r="IB184" s="165" t="n">
        <f aca="false">$HX184*IA184</f>
        <v>0</v>
      </c>
      <c r="IC184" s="66"/>
      <c r="ID184" s="165" t="n">
        <f aca="false">$HX184*IC184</f>
        <v>0</v>
      </c>
      <c r="IE184" s="66"/>
      <c r="IF184" s="165" t="n">
        <f aca="false">$HX184*IE184</f>
        <v>0</v>
      </c>
      <c r="IG184" s="66"/>
      <c r="IH184" s="165" t="n">
        <f aca="false">$HX184*IG184</f>
        <v>0</v>
      </c>
    </row>
    <row r="185" s="34" customFormat="true" ht="15" hidden="false" customHeight="false" outlineLevel="0" collapsed="false">
      <c r="HV185" s="127"/>
      <c r="HX185" s="128"/>
    </row>
    <row r="186" s="34" customFormat="true" ht="15" hidden="false" customHeight="false" outlineLevel="0" collapsed="false">
      <c r="HV186" s="127"/>
      <c r="HX186" s="128"/>
    </row>
    <row r="187" s="34" customFormat="true" ht="15" hidden="false" customHeight="false" outlineLevel="0" collapsed="false">
      <c r="HU187" s="125"/>
      <c r="HV187" s="141"/>
      <c r="HW187" s="125"/>
      <c r="HX187" s="171" t="s">
        <v>65</v>
      </c>
      <c r="HY187" s="165"/>
      <c r="HZ187" s="165" t="n">
        <f aca="false">SUM(HZ157:HZ184)</f>
        <v>0</v>
      </c>
      <c r="IA187" s="165"/>
      <c r="IB187" s="165" t="n">
        <f aca="false">SUM(IB157:IB184)</f>
        <v>0</v>
      </c>
      <c r="IC187" s="165"/>
      <c r="ID187" s="165" t="n">
        <f aca="false">SUM(ID157:ID184)</f>
        <v>0</v>
      </c>
      <c r="IE187" s="165"/>
      <c r="IF187" s="165" t="n">
        <f aca="false">SUM(IF157:IF184)</f>
        <v>0</v>
      </c>
      <c r="IG187" s="165"/>
      <c r="IH187" s="165" t="n">
        <f aca="false">SUM(IH157:IH184)</f>
        <v>0</v>
      </c>
    </row>
  </sheetData>
  <mergeCells count="101">
    <mergeCell ref="A1:D1"/>
    <mergeCell ref="E1:F1"/>
    <mergeCell ref="G1:H1"/>
    <mergeCell ref="I1:J1"/>
    <mergeCell ref="K1:L1"/>
    <mergeCell ref="A2:D2"/>
    <mergeCell ref="E2:F2"/>
    <mergeCell ref="G2:H2"/>
    <mergeCell ref="I2:J2"/>
    <mergeCell ref="K2:L2"/>
    <mergeCell ref="A3:D3"/>
    <mergeCell ref="E3:F3"/>
    <mergeCell ref="G3:H3"/>
    <mergeCell ref="I3:J3"/>
    <mergeCell ref="K3:L3"/>
    <mergeCell ref="A4:D4"/>
    <mergeCell ref="E4:F4"/>
    <mergeCell ref="G4:H4"/>
    <mergeCell ref="I4:J4"/>
    <mergeCell ref="K4:L4"/>
    <mergeCell ref="A5:D5"/>
    <mergeCell ref="E5:F5"/>
    <mergeCell ref="G5:H5"/>
    <mergeCell ref="I5:J5"/>
    <mergeCell ref="K5:L5"/>
    <mergeCell ref="A6:D6"/>
    <mergeCell ref="E6:F6"/>
    <mergeCell ref="G6:H6"/>
    <mergeCell ref="I6:J6"/>
    <mergeCell ref="K6:L6"/>
    <mergeCell ref="A8:A17"/>
    <mergeCell ref="B8:B12"/>
    <mergeCell ref="B13:B17"/>
    <mergeCell ref="A18:A27"/>
    <mergeCell ref="B18:B22"/>
    <mergeCell ref="B23:B27"/>
    <mergeCell ref="A28:A29"/>
    <mergeCell ref="B28:B29"/>
    <mergeCell ref="A30:A31"/>
    <mergeCell ref="B30:B31"/>
    <mergeCell ref="A33:A34"/>
    <mergeCell ref="B33:B34"/>
    <mergeCell ref="A35:A36"/>
    <mergeCell ref="B35:B36"/>
    <mergeCell ref="CO98:CP98"/>
    <mergeCell ref="CQ98:CR98"/>
    <mergeCell ref="CS98:CT98"/>
    <mergeCell ref="CU98:CV98"/>
    <mergeCell ref="CW98:CX98"/>
    <mergeCell ref="CO99:CP99"/>
    <mergeCell ref="CQ99:CR99"/>
    <mergeCell ref="CS99:CT99"/>
    <mergeCell ref="CU99:CV99"/>
    <mergeCell ref="CW99:CX99"/>
    <mergeCell ref="CO100:CO101"/>
    <mergeCell ref="CP100:CP101"/>
    <mergeCell ref="CQ100:CQ101"/>
    <mergeCell ref="CR100:CR101"/>
    <mergeCell ref="CS100:CS101"/>
    <mergeCell ref="CT100:CT101"/>
    <mergeCell ref="CU100:CU101"/>
    <mergeCell ref="CV100:CV101"/>
    <mergeCell ref="CW100:CW101"/>
    <mergeCell ref="CX100:CX101"/>
    <mergeCell ref="HU153:HX153"/>
    <mergeCell ref="HY153:HZ153"/>
    <mergeCell ref="IA153:IB153"/>
    <mergeCell ref="IC153:ID153"/>
    <mergeCell ref="IE153:IF153"/>
    <mergeCell ref="IG153:IH153"/>
    <mergeCell ref="HU154:HX154"/>
    <mergeCell ref="HY154:HZ154"/>
    <mergeCell ref="IA154:IB154"/>
    <mergeCell ref="IC154:ID154"/>
    <mergeCell ref="IE154:IF154"/>
    <mergeCell ref="IG154:IH154"/>
    <mergeCell ref="HU155:HX155"/>
    <mergeCell ref="HY155:HY156"/>
    <mergeCell ref="HZ155:HZ156"/>
    <mergeCell ref="IA155:IA156"/>
    <mergeCell ref="IB155:IB156"/>
    <mergeCell ref="IC155:IC156"/>
    <mergeCell ref="ID155:ID156"/>
    <mergeCell ref="IE155:IE156"/>
    <mergeCell ref="IF155:IF156"/>
    <mergeCell ref="IG155:IG156"/>
    <mergeCell ref="IH155:IH156"/>
    <mergeCell ref="HU157:HU164"/>
    <mergeCell ref="HV157:HV160"/>
    <mergeCell ref="HV161:HV164"/>
    <mergeCell ref="HU165:HU172"/>
    <mergeCell ref="HV165:HV168"/>
    <mergeCell ref="HV169:HV172"/>
    <mergeCell ref="HU173:HU174"/>
    <mergeCell ref="HV173:HV174"/>
    <mergeCell ref="HU175:HU176"/>
    <mergeCell ref="HV175:HV176"/>
    <mergeCell ref="HU179:HU180"/>
    <mergeCell ref="HV179:HV180"/>
    <mergeCell ref="HU181:HU182"/>
    <mergeCell ref="HV181:HV182"/>
  </mergeCells>
  <printOptions headings="false" gridLines="false" gridLinesSet="true" horizontalCentered="false" verticalCentered="false"/>
  <pageMargins left="0.236111111111111" right="0.354166666666667" top="0.748611111111111" bottom="0.236111111111111" header="0.315277777777778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&amp;L&amp;"Calibri,Bold"JULY  2026&amp;C&amp;"Calibri,Bold"Annexure 01&amp;R&amp;"Calibri,Bold"PRINTING SERVICES</oddHeader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127" width="11.57"/>
    <col collapsed="false" customWidth="true" hidden="false" outlineLevel="0" max="2" min="2" style="34" width="6.29"/>
    <col collapsed="false" customWidth="true" hidden="false" outlineLevel="0" max="3" min="3" style="34" width="6.14"/>
    <col collapsed="false" customWidth="true" hidden="false" outlineLevel="0" max="4" min="4" style="128" width="8"/>
    <col collapsed="false" customWidth="true" hidden="false" outlineLevel="0" max="5" min="5" style="34" width="6.85"/>
    <col collapsed="false" customWidth="true" hidden="false" outlineLevel="0" max="6" min="6" style="34" width="15.14"/>
    <col collapsed="false" customWidth="true" hidden="false" outlineLevel="0" max="7" min="7" style="34" width="6.85"/>
    <col collapsed="false" customWidth="true" hidden="false" outlineLevel="0" max="8" min="8" style="34" width="16.43"/>
    <col collapsed="false" customWidth="true" hidden="false" outlineLevel="0" max="9" min="9" style="34" width="6.85"/>
    <col collapsed="false" customWidth="true" hidden="false" outlineLevel="0" max="10" min="10" style="34" width="12.71"/>
    <col collapsed="false" customWidth="true" hidden="false" outlineLevel="0" max="11" min="11" style="34" width="6.85"/>
    <col collapsed="false" customWidth="true" hidden="false" outlineLevel="0" max="12" min="12" style="34" width="12.86"/>
    <col collapsed="false" customWidth="true" hidden="false" outlineLevel="0" max="13" min="13" style="34" width="9"/>
    <col collapsed="false" customWidth="true" hidden="false" outlineLevel="0" max="14" min="14" style="34" width="12.71"/>
    <col collapsed="false" customWidth="false" hidden="false" outlineLevel="0" max="16384" min="15" style="34" width="9.14"/>
  </cols>
  <sheetData>
    <row r="1" customFormat="false" ht="15" hidden="false" customHeight="false" outlineLevel="0" collapsed="false">
      <c r="A1" s="129" t="s">
        <v>0</v>
      </c>
      <c r="B1" s="129"/>
      <c r="C1" s="129"/>
      <c r="D1" s="129"/>
      <c r="E1" s="130"/>
      <c r="F1" s="130"/>
      <c r="G1" s="130"/>
      <c r="H1" s="130"/>
      <c r="I1" s="130"/>
      <c r="J1" s="130"/>
      <c r="K1" s="130"/>
      <c r="L1" s="130"/>
      <c r="M1" s="130" t="s">
        <v>78</v>
      </c>
      <c r="N1" s="130"/>
    </row>
    <row r="2" customFormat="false" ht="15" hidden="false" customHeight="false" outlineLevel="0" collapsed="false">
      <c r="A2" s="129" t="s">
        <v>2</v>
      </c>
      <c r="B2" s="129"/>
      <c r="C2" s="129"/>
      <c r="D2" s="129"/>
      <c r="E2" s="130"/>
      <c r="F2" s="130"/>
      <c r="G2" s="130"/>
      <c r="H2" s="130"/>
      <c r="I2" s="130"/>
      <c r="J2" s="130"/>
      <c r="K2" s="130"/>
      <c r="L2" s="130"/>
      <c r="M2" s="130" t="s">
        <v>79</v>
      </c>
      <c r="N2" s="130"/>
    </row>
    <row r="3" customFormat="false" ht="15" hidden="false" customHeight="false" outlineLevel="0" collapsed="false">
      <c r="A3" s="174"/>
      <c r="B3" s="175" t="s">
        <v>4</v>
      </c>
      <c r="C3" s="176"/>
      <c r="D3" s="177"/>
      <c r="E3" s="130"/>
      <c r="F3" s="130"/>
      <c r="G3" s="130"/>
      <c r="H3" s="130"/>
      <c r="I3" s="130"/>
      <c r="J3" s="130"/>
      <c r="K3" s="130"/>
      <c r="L3" s="130"/>
      <c r="M3" s="130" t="s">
        <v>3</v>
      </c>
      <c r="N3" s="130"/>
    </row>
    <row r="4" customFormat="false" ht="15" hidden="false" customHeight="false" outlineLevel="0" collapsed="false">
      <c r="A4" s="129" t="s">
        <v>6</v>
      </c>
      <c r="B4" s="129"/>
      <c r="C4" s="129"/>
      <c r="D4" s="129"/>
      <c r="E4" s="130"/>
      <c r="F4" s="130"/>
      <c r="G4" s="130"/>
      <c r="H4" s="130"/>
      <c r="I4" s="130"/>
      <c r="J4" s="130"/>
      <c r="K4" s="130"/>
      <c r="L4" s="130"/>
      <c r="M4" s="130" t="s">
        <v>5</v>
      </c>
      <c r="N4" s="130"/>
    </row>
    <row r="5" customFormat="false" ht="15" hidden="false" customHeight="false" outlineLevel="0" collapsed="false">
      <c r="A5" s="129" t="s">
        <v>8</v>
      </c>
      <c r="B5" s="129"/>
      <c r="C5" s="129"/>
      <c r="D5" s="129"/>
      <c r="E5" s="132"/>
      <c r="F5" s="132"/>
      <c r="G5" s="132"/>
      <c r="H5" s="132"/>
      <c r="I5" s="132"/>
      <c r="J5" s="132"/>
      <c r="K5" s="130"/>
      <c r="L5" s="130"/>
      <c r="M5" s="131" t="s">
        <v>80</v>
      </c>
      <c r="N5" s="131"/>
    </row>
    <row r="6" customFormat="false" ht="14.25" hidden="false" customHeight="true" outlineLevel="0" collapsed="false">
      <c r="A6" s="129" t="s">
        <v>9</v>
      </c>
      <c r="B6" s="129"/>
      <c r="C6" s="129"/>
      <c r="D6" s="129"/>
      <c r="E6" s="132"/>
      <c r="F6" s="132"/>
      <c r="G6" s="132"/>
      <c r="H6" s="132"/>
      <c r="I6" s="132"/>
      <c r="J6" s="132"/>
      <c r="K6" s="130"/>
      <c r="L6" s="130"/>
      <c r="M6" s="130"/>
      <c r="N6" s="130"/>
    </row>
    <row r="7" customFormat="false" ht="15" hidden="false" customHeight="false" outlineLevel="0" collapsed="false">
      <c r="A7" s="133" t="s">
        <v>11</v>
      </c>
      <c r="B7" s="133" t="s">
        <v>12</v>
      </c>
      <c r="C7" s="133" t="s">
        <v>81</v>
      </c>
      <c r="D7" s="134" t="s">
        <v>13</v>
      </c>
      <c r="E7" s="135" t="s">
        <v>14</v>
      </c>
      <c r="F7" s="135" t="s">
        <v>15</v>
      </c>
      <c r="G7" s="135" t="s">
        <v>14</v>
      </c>
      <c r="H7" s="135" t="s">
        <v>15</v>
      </c>
      <c r="I7" s="135" t="s">
        <v>14</v>
      </c>
      <c r="J7" s="135" t="s">
        <v>15</v>
      </c>
      <c r="K7" s="135" t="s">
        <v>14</v>
      </c>
      <c r="L7" s="135" t="s">
        <v>15</v>
      </c>
      <c r="M7" s="135" t="s">
        <v>16</v>
      </c>
      <c r="N7" s="135" t="s">
        <v>15</v>
      </c>
    </row>
    <row r="8" customFormat="false" ht="15" hidden="false" customHeight="true" outlineLevel="0" collapsed="false">
      <c r="A8" s="178" t="s">
        <v>82</v>
      </c>
      <c r="B8" s="150" t="s">
        <v>20</v>
      </c>
      <c r="C8" s="150" t="s">
        <v>83</v>
      </c>
      <c r="D8" s="179" t="n">
        <v>9.77</v>
      </c>
      <c r="E8" s="65"/>
      <c r="F8" s="140" t="n">
        <f aca="false">$D8*E8</f>
        <v>0</v>
      </c>
      <c r="G8" s="66"/>
      <c r="H8" s="140" t="n">
        <f aca="false">$D8*G8</f>
        <v>0</v>
      </c>
      <c r="I8" s="66"/>
      <c r="J8" s="140" t="n">
        <f aca="false">$D8*I8</f>
        <v>0</v>
      </c>
      <c r="K8" s="180"/>
      <c r="L8" s="140" t="n">
        <f aca="false">$D8*K8</f>
        <v>0</v>
      </c>
      <c r="M8" s="66" t="n">
        <f aca="false">SUM(E8,G8,I8,K8)</f>
        <v>0</v>
      </c>
      <c r="N8" s="140" t="n">
        <f aca="false">$D8*M8</f>
        <v>0</v>
      </c>
    </row>
    <row r="9" customFormat="false" ht="15" hidden="false" customHeight="false" outlineLevel="0" collapsed="false">
      <c r="A9" s="178"/>
      <c r="B9" s="150" t="s">
        <v>21</v>
      </c>
      <c r="C9" s="150" t="s">
        <v>83</v>
      </c>
      <c r="D9" s="179" t="n">
        <v>19.55</v>
      </c>
      <c r="E9" s="65"/>
      <c r="F9" s="140" t="n">
        <f aca="false">$D9*E9</f>
        <v>0</v>
      </c>
      <c r="G9" s="66"/>
      <c r="H9" s="140" t="n">
        <f aca="false">$D9*G9</f>
        <v>0</v>
      </c>
      <c r="I9" s="66"/>
      <c r="J9" s="140" t="n">
        <f aca="false">$D9*I9</f>
        <v>0</v>
      </c>
      <c r="K9" s="66"/>
      <c r="L9" s="140" t="n">
        <f aca="false">$D9*K9</f>
        <v>0</v>
      </c>
      <c r="M9" s="66" t="n">
        <f aca="false">SUM(E9,G9,I9,K9)</f>
        <v>0</v>
      </c>
      <c r="N9" s="140" t="n">
        <f aca="false">$D9*M9</f>
        <v>0</v>
      </c>
    </row>
    <row r="10" customFormat="false" ht="15" hidden="false" customHeight="true" outlineLevel="0" collapsed="false">
      <c r="A10" s="149" t="s">
        <v>84</v>
      </c>
      <c r="B10" s="150"/>
      <c r="C10" s="150" t="s">
        <v>85</v>
      </c>
      <c r="D10" s="179" t="n">
        <v>13.8</v>
      </c>
      <c r="E10" s="66"/>
      <c r="F10" s="140" t="n">
        <f aca="false">$D10*E10</f>
        <v>0</v>
      </c>
      <c r="G10" s="66"/>
      <c r="H10" s="140" t="n">
        <f aca="false">$D10*G10</f>
        <v>0</v>
      </c>
      <c r="I10" s="66"/>
      <c r="J10" s="140" t="n">
        <f aca="false">$D10*I10</f>
        <v>0</v>
      </c>
      <c r="K10" s="66"/>
      <c r="L10" s="140" t="n">
        <f aca="false">$D10*K10</f>
        <v>0</v>
      </c>
      <c r="M10" s="66" t="n">
        <f aca="false">SUM(E10,G10,I10,K10)</f>
        <v>0</v>
      </c>
      <c r="N10" s="140" t="n">
        <f aca="false">$D10*M10</f>
        <v>0</v>
      </c>
    </row>
    <row r="11" customFormat="false" ht="15" hidden="false" customHeight="false" outlineLevel="0" collapsed="false">
      <c r="A11" s="149"/>
      <c r="B11" s="150"/>
      <c r="C11" s="150" t="s">
        <v>20</v>
      </c>
      <c r="D11" s="179" t="n">
        <v>17.25</v>
      </c>
      <c r="E11" s="117"/>
      <c r="F11" s="140" t="n">
        <f aca="false">$D11*E11</f>
        <v>0</v>
      </c>
      <c r="G11" s="117"/>
      <c r="H11" s="140" t="n">
        <f aca="false">$D11*G11</f>
        <v>0</v>
      </c>
      <c r="I11" s="117"/>
      <c r="J11" s="140" t="n">
        <f aca="false">$D11*I11</f>
        <v>0</v>
      </c>
      <c r="K11" s="66"/>
      <c r="L11" s="140" t="n">
        <f aca="false">$D11*K11</f>
        <v>0</v>
      </c>
      <c r="M11" s="66" t="n">
        <f aca="false">SUM(E11,G11,I11,K11)</f>
        <v>0</v>
      </c>
      <c r="N11" s="140" t="n">
        <f aca="false">$D11*M11</f>
        <v>0</v>
      </c>
    </row>
    <row r="12" customFormat="false" ht="17.25" hidden="false" customHeight="true" outlineLevel="0" collapsed="false">
      <c r="A12" s="149"/>
      <c r="B12" s="150"/>
      <c r="C12" s="150" t="s">
        <v>21</v>
      </c>
      <c r="D12" s="179" t="n">
        <v>46</v>
      </c>
      <c r="E12" s="66"/>
      <c r="F12" s="140" t="n">
        <f aca="false">$D12*E12</f>
        <v>0</v>
      </c>
      <c r="G12" s="66"/>
      <c r="H12" s="140" t="n">
        <f aca="false">$D12*G12</f>
        <v>0</v>
      </c>
      <c r="I12" s="66"/>
      <c r="J12" s="140" t="n">
        <f aca="false">$D12*I12</f>
        <v>0</v>
      </c>
      <c r="K12" s="66"/>
      <c r="L12" s="140" t="n">
        <f aca="false">$D12*K12</f>
        <v>0</v>
      </c>
      <c r="M12" s="66" t="n">
        <f aca="false">SUM(E12,G12,I12,K12)</f>
        <v>0</v>
      </c>
      <c r="N12" s="140" t="n">
        <f aca="false">$D12*M12</f>
        <v>0</v>
      </c>
    </row>
    <row r="13" customFormat="false" ht="15" hidden="true" customHeight="false" outlineLevel="0" collapsed="false">
      <c r="A13" s="149"/>
      <c r="B13" s="150"/>
      <c r="C13" s="150"/>
      <c r="D13" s="179"/>
      <c r="E13" s="66"/>
      <c r="F13" s="140" t="n">
        <f aca="false">$D13*E13</f>
        <v>0</v>
      </c>
      <c r="G13" s="66"/>
      <c r="H13" s="140" t="n">
        <f aca="false">$D13*G13</f>
        <v>0</v>
      </c>
      <c r="I13" s="66"/>
      <c r="J13" s="140" t="n">
        <f aca="false">$D13*I13</f>
        <v>0</v>
      </c>
      <c r="K13" s="66"/>
      <c r="L13" s="140" t="n">
        <f aca="false">$D13*K13</f>
        <v>0</v>
      </c>
      <c r="M13" s="66" t="n">
        <f aca="false">SUM(E13,G13,I13,K13)</f>
        <v>0</v>
      </c>
      <c r="N13" s="140" t="n">
        <f aca="false">$D13*M13</f>
        <v>0</v>
      </c>
    </row>
    <row r="14" customFormat="false" ht="16.5" hidden="false" customHeight="true" outlineLevel="0" collapsed="false">
      <c r="A14" s="149" t="s">
        <v>86</v>
      </c>
      <c r="B14" s="150" t="s">
        <v>20</v>
      </c>
      <c r="C14" s="150" t="n">
        <v>50</v>
      </c>
      <c r="D14" s="181" t="n">
        <v>5</v>
      </c>
      <c r="E14" s="66"/>
      <c r="F14" s="140" t="n">
        <f aca="false">$D14*E14</f>
        <v>0</v>
      </c>
      <c r="G14" s="66"/>
      <c r="H14" s="140" t="n">
        <f aca="false">$D14*G14</f>
        <v>0</v>
      </c>
      <c r="I14" s="66"/>
      <c r="J14" s="140" t="n">
        <f aca="false">$D14*I14</f>
        <v>0</v>
      </c>
      <c r="K14" s="66"/>
      <c r="L14" s="140" t="n">
        <f aca="false">$D14*K14</f>
        <v>0</v>
      </c>
      <c r="M14" s="66" t="n">
        <f aca="false">SUM(E14,G14,I14,K14)</f>
        <v>0</v>
      </c>
      <c r="N14" s="140" t="n">
        <f aca="false">$D14*M14</f>
        <v>0</v>
      </c>
    </row>
    <row r="15" customFormat="false" ht="15" hidden="false" customHeight="true" outlineLevel="0" collapsed="false">
      <c r="A15" s="149" t="s">
        <v>87</v>
      </c>
      <c r="B15" s="150" t="s">
        <v>85</v>
      </c>
      <c r="C15" s="150" t="n">
        <v>100</v>
      </c>
      <c r="D15" s="179" t="n">
        <v>40.25</v>
      </c>
      <c r="E15" s="66"/>
      <c r="F15" s="140" t="n">
        <f aca="false">$D15*E15</f>
        <v>0</v>
      </c>
      <c r="G15" s="66"/>
      <c r="H15" s="140" t="n">
        <f aca="false">$D15*G15</f>
        <v>0</v>
      </c>
      <c r="I15" s="66"/>
      <c r="J15" s="140" t="n">
        <f aca="false">$D15*I15</f>
        <v>0</v>
      </c>
      <c r="K15" s="66"/>
      <c r="L15" s="140" t="n">
        <f aca="false">$D15*K15</f>
        <v>0</v>
      </c>
      <c r="M15" s="66" t="n">
        <f aca="false">SUM(E15,G15,I15,K15)</f>
        <v>0</v>
      </c>
      <c r="N15" s="140" t="n">
        <f aca="false">$D15*M15</f>
        <v>0</v>
      </c>
    </row>
    <row r="16" customFormat="false" ht="15" hidden="false" customHeight="false" outlineLevel="0" collapsed="false">
      <c r="A16" s="149"/>
      <c r="B16" s="150" t="s">
        <v>20</v>
      </c>
      <c r="C16" s="150" t="n">
        <v>100</v>
      </c>
      <c r="D16" s="179" t="n">
        <v>57.5</v>
      </c>
      <c r="E16" s="65"/>
      <c r="F16" s="140" t="n">
        <f aca="false">$D16*E16</f>
        <v>0</v>
      </c>
      <c r="G16" s="66"/>
      <c r="H16" s="140" t="n">
        <f aca="false">$D16*G16</f>
        <v>0</v>
      </c>
      <c r="I16" s="66"/>
      <c r="J16" s="140" t="n">
        <f aca="false">$D16*I16</f>
        <v>0</v>
      </c>
      <c r="K16" s="66"/>
      <c r="L16" s="140" t="n">
        <f aca="false">$D16*K16</f>
        <v>0</v>
      </c>
      <c r="M16" s="66" t="n">
        <f aca="false">SUM(E16,G16,I16,K16)</f>
        <v>0</v>
      </c>
      <c r="N16" s="140" t="n">
        <f aca="false">$D16*M16</f>
        <v>0</v>
      </c>
    </row>
    <row r="17" customFormat="false" ht="15" hidden="false" customHeight="true" outlineLevel="0" collapsed="false">
      <c r="A17" s="149" t="s">
        <v>88</v>
      </c>
      <c r="B17" s="150" t="s">
        <v>20</v>
      </c>
      <c r="C17" s="150" t="s">
        <v>83</v>
      </c>
      <c r="D17" s="179" t="n">
        <v>563.5</v>
      </c>
      <c r="E17" s="66"/>
      <c r="F17" s="140" t="n">
        <f aca="false">$D17*E17</f>
        <v>0</v>
      </c>
      <c r="G17" s="66"/>
      <c r="H17" s="140" t="n">
        <f aca="false">$D17*G17</f>
        <v>0</v>
      </c>
      <c r="I17" s="66"/>
      <c r="J17" s="140" t="n">
        <f aca="false">$D17*I17</f>
        <v>0</v>
      </c>
      <c r="K17" s="66"/>
      <c r="L17" s="140" t="n">
        <f aca="false">$D17*K17</f>
        <v>0</v>
      </c>
      <c r="M17" s="66" t="n">
        <f aca="false">SUM(E17,G17,I17,K17)</f>
        <v>0</v>
      </c>
      <c r="N17" s="140" t="n">
        <f aca="false">$D17*M17</f>
        <v>0</v>
      </c>
    </row>
    <row r="18" customFormat="false" ht="15" hidden="false" customHeight="false" outlineLevel="0" collapsed="false">
      <c r="A18" s="149"/>
      <c r="B18" s="150" t="s">
        <v>21</v>
      </c>
      <c r="C18" s="150" t="s">
        <v>83</v>
      </c>
      <c r="D18" s="179" t="n">
        <v>908.5</v>
      </c>
      <c r="E18" s="66"/>
      <c r="F18" s="140" t="n">
        <f aca="false">$D18*E18</f>
        <v>0</v>
      </c>
      <c r="G18" s="66"/>
      <c r="H18" s="140" t="n">
        <f aca="false">$D18*G18</f>
        <v>0</v>
      </c>
      <c r="I18" s="66"/>
      <c r="J18" s="140" t="n">
        <f aca="false">$D18*I18</f>
        <v>0</v>
      </c>
      <c r="K18" s="66"/>
      <c r="L18" s="140" t="n">
        <f aca="false">$D18*K18</f>
        <v>0</v>
      </c>
      <c r="M18" s="66" t="n">
        <f aca="false">SUM(E18,G18,I18,K18)</f>
        <v>0</v>
      </c>
      <c r="N18" s="140" t="n">
        <f aca="false">$D18*M18</f>
        <v>0</v>
      </c>
    </row>
    <row r="19" customFormat="false" ht="15" hidden="false" customHeight="true" outlineLevel="0" collapsed="false">
      <c r="A19" s="149" t="s">
        <v>89</v>
      </c>
      <c r="B19" s="150" t="s">
        <v>20</v>
      </c>
      <c r="C19" s="150"/>
      <c r="D19" s="179" t="n">
        <v>368</v>
      </c>
      <c r="E19" s="66"/>
      <c r="F19" s="140" t="n">
        <f aca="false">$D19*E19</f>
        <v>0</v>
      </c>
      <c r="G19" s="66"/>
      <c r="H19" s="140" t="n">
        <f aca="false">$D19*G19</f>
        <v>0</v>
      </c>
      <c r="I19" s="66"/>
      <c r="J19" s="140" t="n">
        <f aca="false">$D19*I19</f>
        <v>0</v>
      </c>
      <c r="K19" s="66"/>
      <c r="L19" s="140" t="n">
        <f aca="false">$D19*K19</f>
        <v>0</v>
      </c>
      <c r="M19" s="66" t="n">
        <f aca="false">SUM(E19,G19,I19,K19)</f>
        <v>0</v>
      </c>
      <c r="N19" s="140" t="n">
        <f aca="false">$D19*M19</f>
        <v>0</v>
      </c>
    </row>
    <row r="20" customFormat="false" ht="15" hidden="false" customHeight="false" outlineLevel="0" collapsed="false">
      <c r="A20" s="149"/>
      <c r="B20" s="150" t="s">
        <v>21</v>
      </c>
      <c r="C20" s="150"/>
      <c r="D20" s="179" t="n">
        <v>644</v>
      </c>
      <c r="E20" s="66"/>
      <c r="F20" s="140" t="n">
        <f aca="false">$D20*E20</f>
        <v>0</v>
      </c>
      <c r="G20" s="66"/>
      <c r="H20" s="140" t="n">
        <f aca="false">$D20*G20</f>
        <v>0</v>
      </c>
      <c r="I20" s="66"/>
      <c r="J20" s="140" t="n">
        <f aca="false">$D20*I20</f>
        <v>0</v>
      </c>
      <c r="K20" s="66"/>
      <c r="L20" s="140" t="n">
        <f aca="false">$D20*K20</f>
        <v>0</v>
      </c>
      <c r="M20" s="66" t="n">
        <f aca="false">SUM(E20,G20,I20,K20)</f>
        <v>0</v>
      </c>
      <c r="N20" s="140" t="n">
        <f aca="false">$D20*M20</f>
        <v>0</v>
      </c>
    </row>
    <row r="21" customFormat="false" ht="15" hidden="false" customHeight="true" outlineLevel="0" collapsed="false">
      <c r="A21" s="149" t="s">
        <v>90</v>
      </c>
      <c r="B21" s="150" t="s">
        <v>20</v>
      </c>
      <c r="C21" s="150"/>
      <c r="D21" s="179" t="n">
        <v>230</v>
      </c>
      <c r="E21" s="117"/>
      <c r="F21" s="140" t="n">
        <f aca="false">$D21*E21</f>
        <v>0</v>
      </c>
      <c r="G21" s="117"/>
      <c r="H21" s="140" t="n">
        <f aca="false">$D21*G21</f>
        <v>0</v>
      </c>
      <c r="I21" s="65"/>
      <c r="J21" s="140" t="n">
        <f aca="false">$D21*I21</f>
        <v>0</v>
      </c>
      <c r="K21" s="66"/>
      <c r="L21" s="140" t="n">
        <f aca="false">$D21*K21</f>
        <v>0</v>
      </c>
      <c r="M21" s="66" t="n">
        <f aca="false">SUM(E21,G21,I21,K21)</f>
        <v>0</v>
      </c>
      <c r="N21" s="140" t="n">
        <f aca="false">$D21*M21</f>
        <v>0</v>
      </c>
    </row>
    <row r="22" customFormat="false" ht="18.75" hidden="false" customHeight="true" outlineLevel="0" collapsed="false">
      <c r="A22" s="149"/>
      <c r="B22" s="150" t="s">
        <v>21</v>
      </c>
      <c r="C22" s="182"/>
      <c r="D22" s="179" t="n">
        <v>448.5</v>
      </c>
      <c r="E22" s="117"/>
      <c r="F22" s="140" t="n">
        <f aca="false">$D22*E22</f>
        <v>0</v>
      </c>
      <c r="G22" s="66"/>
      <c r="H22" s="140" t="n">
        <f aca="false">$D22*G22</f>
        <v>0</v>
      </c>
      <c r="I22" s="66"/>
      <c r="J22" s="140" t="n">
        <f aca="false">$D22*I22</f>
        <v>0</v>
      </c>
      <c r="K22" s="66"/>
      <c r="L22" s="140" t="n">
        <f aca="false">$D22*K22</f>
        <v>0</v>
      </c>
      <c r="M22" s="66" t="n">
        <f aca="false">SUM(E22,G22,I22,K22)</f>
        <v>0</v>
      </c>
      <c r="N22" s="140" t="n">
        <f aca="false">$D22*M22</f>
        <v>0</v>
      </c>
    </row>
    <row r="23" customFormat="false" ht="15" hidden="false" customHeight="true" outlineLevel="0" collapsed="false">
      <c r="A23" s="149" t="s">
        <v>91</v>
      </c>
      <c r="B23" s="150" t="s">
        <v>85</v>
      </c>
      <c r="C23" s="150"/>
      <c r="D23" s="179" t="n">
        <v>28.75</v>
      </c>
      <c r="E23" s="66"/>
      <c r="F23" s="140" t="n">
        <f aca="false">$D23*E23</f>
        <v>0</v>
      </c>
      <c r="G23" s="66"/>
      <c r="H23" s="140" t="n">
        <f aca="false">$D23*G23</f>
        <v>0</v>
      </c>
      <c r="I23" s="66"/>
      <c r="J23" s="140" t="n">
        <f aca="false">$D23*I23</f>
        <v>0</v>
      </c>
      <c r="K23" s="66"/>
      <c r="L23" s="140" t="n">
        <f aca="false">$D23*K23</f>
        <v>0</v>
      </c>
      <c r="M23" s="66" t="n">
        <f aca="false">SUM(E23,G23,I23,K23)</f>
        <v>0</v>
      </c>
      <c r="N23" s="140" t="n">
        <f aca="false">$D23*M23</f>
        <v>0</v>
      </c>
    </row>
    <row r="24" customFormat="false" ht="15" hidden="false" customHeight="false" outlineLevel="0" collapsed="false">
      <c r="A24" s="149"/>
      <c r="B24" s="150" t="s">
        <v>20</v>
      </c>
      <c r="C24" s="150"/>
      <c r="D24" s="179" t="n">
        <v>51.75</v>
      </c>
      <c r="E24" s="66"/>
      <c r="F24" s="140" t="n">
        <f aca="false">$D24*E24</f>
        <v>0</v>
      </c>
      <c r="G24" s="66"/>
      <c r="H24" s="140" t="n">
        <f aca="false">$D24*G24</f>
        <v>0</v>
      </c>
      <c r="I24" s="65"/>
      <c r="J24" s="140" t="n">
        <f aca="false">$D24*I24</f>
        <v>0</v>
      </c>
      <c r="K24" s="66"/>
      <c r="L24" s="140" t="n">
        <f aca="false">$D24*K24</f>
        <v>0</v>
      </c>
      <c r="M24" s="66" t="n">
        <f aca="false">SUM(E24,G24,I24,K24)</f>
        <v>0</v>
      </c>
      <c r="N24" s="140" t="n">
        <f aca="false">$D24*M24</f>
        <v>0</v>
      </c>
    </row>
    <row r="25" customFormat="false" ht="15" hidden="false" customHeight="true" outlineLevel="0" collapsed="false">
      <c r="A25" s="149" t="s">
        <v>92</v>
      </c>
      <c r="B25" s="150" t="s">
        <v>93</v>
      </c>
      <c r="C25" s="150"/>
      <c r="D25" s="179" t="n">
        <v>138</v>
      </c>
      <c r="E25" s="66"/>
      <c r="F25" s="140" t="n">
        <f aca="false">$D25*E25</f>
        <v>0</v>
      </c>
      <c r="G25" s="66"/>
      <c r="H25" s="140" t="n">
        <f aca="false">$D25*G25</f>
        <v>0</v>
      </c>
      <c r="I25" s="66"/>
      <c r="J25" s="140" t="n">
        <f aca="false">$D25*I25</f>
        <v>0</v>
      </c>
      <c r="K25" s="66"/>
      <c r="L25" s="140" t="n">
        <f aca="false">$D25*K25</f>
        <v>0</v>
      </c>
      <c r="M25" s="66" t="n">
        <f aca="false">SUM(E25,G25,I25,K25)</f>
        <v>0</v>
      </c>
      <c r="N25" s="140" t="n">
        <f aca="false">$D25*M25</f>
        <v>0</v>
      </c>
    </row>
    <row r="26" customFormat="false" ht="15" hidden="false" customHeight="false" outlineLevel="0" collapsed="false">
      <c r="A26" s="149"/>
      <c r="B26" s="150" t="n">
        <v>1.5</v>
      </c>
      <c r="C26" s="150"/>
      <c r="D26" s="179" t="n">
        <v>152</v>
      </c>
      <c r="E26" s="66"/>
      <c r="F26" s="140" t="n">
        <f aca="false">$D26*E26</f>
        <v>0</v>
      </c>
      <c r="G26" s="66"/>
      <c r="H26" s="140" t="n">
        <f aca="false">$D26*G26</f>
        <v>0</v>
      </c>
      <c r="I26" s="66"/>
      <c r="J26" s="140" t="n">
        <f aca="false">$D26*I26</f>
        <v>0</v>
      </c>
      <c r="K26" s="66"/>
      <c r="L26" s="140" t="n">
        <f aca="false">$D26*K26</f>
        <v>0</v>
      </c>
      <c r="M26" s="66" t="n">
        <f aca="false">SUM(E26,G26,I26,K26)</f>
        <v>0</v>
      </c>
      <c r="N26" s="140" t="n">
        <f aca="false">$D26*M26</f>
        <v>0</v>
      </c>
    </row>
    <row r="27" customFormat="false" ht="15" hidden="false" customHeight="true" outlineLevel="0" collapsed="false">
      <c r="A27" s="149" t="s">
        <v>92</v>
      </c>
      <c r="B27" s="150" t="n">
        <v>2</v>
      </c>
      <c r="C27" s="150"/>
      <c r="D27" s="179" t="n">
        <v>177.1</v>
      </c>
      <c r="E27" s="66"/>
      <c r="F27" s="140" t="n">
        <f aca="false">$D27*E27</f>
        <v>0</v>
      </c>
      <c r="G27" s="66"/>
      <c r="H27" s="140" t="n">
        <f aca="false">$D27*G27</f>
        <v>0</v>
      </c>
      <c r="I27" s="66"/>
      <c r="J27" s="140" t="n">
        <f aca="false">$D27*I27</f>
        <v>0</v>
      </c>
      <c r="K27" s="66"/>
      <c r="L27" s="140" t="n">
        <f aca="false">$D27*K27</f>
        <v>0</v>
      </c>
      <c r="M27" s="66" t="n">
        <f aca="false">SUM(E27,G27,I27,K27)</f>
        <v>0</v>
      </c>
      <c r="N27" s="140" t="n">
        <f aca="false">$D27*M27</f>
        <v>0</v>
      </c>
    </row>
    <row r="28" customFormat="false" ht="15" hidden="false" customHeight="false" outlineLevel="0" collapsed="false">
      <c r="A28" s="149"/>
      <c r="B28" s="150" t="n">
        <v>2.5</v>
      </c>
      <c r="C28" s="150"/>
      <c r="D28" s="179" t="n">
        <v>209.3</v>
      </c>
      <c r="E28" s="117"/>
      <c r="F28" s="140" t="n">
        <f aca="false">$D28*E28</f>
        <v>0</v>
      </c>
      <c r="G28" s="66"/>
      <c r="H28" s="140" t="n">
        <f aca="false">$D28*G28</f>
        <v>0</v>
      </c>
      <c r="I28" s="66"/>
      <c r="J28" s="140" t="n">
        <f aca="false">$D28*I28</f>
        <v>0</v>
      </c>
      <c r="K28" s="66"/>
      <c r="L28" s="140" t="n">
        <f aca="false">$D28*K28</f>
        <v>0</v>
      </c>
      <c r="M28" s="66" t="n">
        <f aca="false">SUM(E28,G28,I28,K28)</f>
        <v>0</v>
      </c>
      <c r="N28" s="140" t="n">
        <f aca="false">$D28*M28</f>
        <v>0</v>
      </c>
    </row>
    <row r="29" customFormat="false" ht="15" hidden="false" customHeight="true" outlineLevel="0" collapsed="false">
      <c r="A29" s="149" t="s">
        <v>92</v>
      </c>
      <c r="B29" s="150" t="n">
        <v>3</v>
      </c>
      <c r="C29" s="150"/>
      <c r="D29" s="179" t="n">
        <v>257.6</v>
      </c>
      <c r="E29" s="66"/>
      <c r="F29" s="140" t="n">
        <f aca="false">$D29*E29</f>
        <v>0</v>
      </c>
      <c r="G29" s="66"/>
      <c r="H29" s="140" t="n">
        <f aca="false">$D29*G29</f>
        <v>0</v>
      </c>
      <c r="I29" s="66"/>
      <c r="J29" s="140" t="n">
        <f aca="false">$D29*I29</f>
        <v>0</v>
      </c>
      <c r="K29" s="66"/>
      <c r="L29" s="140" t="n">
        <f aca="false">$D29*K29</f>
        <v>0</v>
      </c>
      <c r="M29" s="66" t="n">
        <f aca="false">SUM(E29,G29,I29,K29)</f>
        <v>0</v>
      </c>
      <c r="N29" s="140" t="n">
        <f aca="false">$D29*M29</f>
        <v>0</v>
      </c>
    </row>
    <row r="30" customFormat="false" ht="15" hidden="false" customHeight="false" outlineLevel="0" collapsed="false">
      <c r="A30" s="149"/>
      <c r="B30" s="150" t="s">
        <v>85</v>
      </c>
      <c r="C30" s="150"/>
      <c r="D30" s="179" t="n">
        <v>161</v>
      </c>
      <c r="E30" s="66"/>
      <c r="F30" s="140" t="n">
        <f aca="false">$D30*E30</f>
        <v>0</v>
      </c>
      <c r="G30" s="66"/>
      <c r="H30" s="140" t="n">
        <f aca="false">$D30*G30</f>
        <v>0</v>
      </c>
      <c r="I30" s="66"/>
      <c r="J30" s="140" t="n">
        <f aca="false">$D30*I30</f>
        <v>0</v>
      </c>
      <c r="K30" s="66"/>
      <c r="L30" s="140" t="n">
        <f aca="false">$D30*K30</f>
        <v>0</v>
      </c>
      <c r="M30" s="66" t="n">
        <f aca="false">SUM(E30,G30,I30,K30)</f>
        <v>0</v>
      </c>
      <c r="N30" s="140" t="n">
        <f aca="false">$D30*M30</f>
        <v>0</v>
      </c>
    </row>
    <row r="31" customFormat="false" ht="15" hidden="false" customHeight="true" outlineLevel="0" collapsed="false">
      <c r="A31" s="149" t="s">
        <v>94</v>
      </c>
      <c r="B31" s="150" t="s">
        <v>20</v>
      </c>
      <c r="C31" s="150"/>
      <c r="D31" s="179" t="n">
        <v>195.5</v>
      </c>
      <c r="E31" s="66"/>
      <c r="F31" s="140" t="n">
        <f aca="false">$D31*E31</f>
        <v>0</v>
      </c>
      <c r="G31" s="66"/>
      <c r="H31" s="140" t="n">
        <f aca="false">$D31*G31</f>
        <v>0</v>
      </c>
      <c r="I31" s="66"/>
      <c r="J31" s="140" t="n">
        <f aca="false">$D31*I31</f>
        <v>0</v>
      </c>
      <c r="K31" s="66"/>
      <c r="L31" s="140" t="n">
        <f aca="false">$D31*K31</f>
        <v>0</v>
      </c>
      <c r="M31" s="66" t="n">
        <f aca="false">SUM(E31,G31,I31,K31)</f>
        <v>0</v>
      </c>
      <c r="N31" s="140" t="n">
        <f aca="false">$D31*M31</f>
        <v>0</v>
      </c>
    </row>
    <row r="32" customFormat="false" ht="15" hidden="false" customHeight="false" outlineLevel="0" collapsed="false">
      <c r="A32" s="149"/>
      <c r="B32" s="150" t="s">
        <v>21</v>
      </c>
      <c r="C32" s="150"/>
      <c r="D32" s="179" t="n">
        <v>391</v>
      </c>
      <c r="E32" s="66"/>
      <c r="F32" s="140" t="n">
        <f aca="false">$D32*E32</f>
        <v>0</v>
      </c>
      <c r="G32" s="66"/>
      <c r="H32" s="140" t="n">
        <f aca="false">$D32*G32</f>
        <v>0</v>
      </c>
      <c r="I32" s="66"/>
      <c r="J32" s="140" t="n">
        <f aca="false">$D32*I32</f>
        <v>0</v>
      </c>
      <c r="K32" s="66"/>
      <c r="L32" s="140" t="n">
        <f aca="false">$D32*K32</f>
        <v>0</v>
      </c>
      <c r="M32" s="66" t="n">
        <f aca="false">SUM(E32,G32,I32,K32)</f>
        <v>0</v>
      </c>
      <c r="N32" s="140" t="n">
        <f aca="false">$D32*M32</f>
        <v>0</v>
      </c>
    </row>
    <row r="33" customFormat="false" ht="12.75" hidden="false" customHeight="true" outlineLevel="0" collapsed="false">
      <c r="A33" s="149" t="s">
        <v>95</v>
      </c>
      <c r="B33" s="150" t="s">
        <v>20</v>
      </c>
      <c r="C33" s="150"/>
      <c r="D33" s="183" t="n">
        <v>34.5</v>
      </c>
      <c r="E33" s="117"/>
      <c r="F33" s="140" t="n">
        <f aca="false">$D33*E33</f>
        <v>0</v>
      </c>
      <c r="G33" s="66"/>
      <c r="H33" s="140" t="n">
        <f aca="false">$D33*G33</f>
        <v>0</v>
      </c>
      <c r="I33" s="66"/>
      <c r="J33" s="140" t="n">
        <f aca="false">$D33*I33</f>
        <v>0</v>
      </c>
      <c r="K33" s="66"/>
      <c r="L33" s="140" t="n">
        <f aca="false">$D33*K33</f>
        <v>0</v>
      </c>
      <c r="M33" s="66" t="n">
        <f aca="false">SUM(E33,G33,I33,K33)</f>
        <v>0</v>
      </c>
      <c r="N33" s="140" t="n">
        <f aca="false">$D33*M33</f>
        <v>0</v>
      </c>
    </row>
    <row r="34" customFormat="false" ht="15" hidden="false" customHeight="false" outlineLevel="0" collapsed="false">
      <c r="A34" s="149"/>
      <c r="B34" s="150"/>
      <c r="C34" s="150"/>
      <c r="D34" s="179"/>
      <c r="E34" s="66"/>
      <c r="F34" s="140" t="n">
        <f aca="false">$D34*E34</f>
        <v>0</v>
      </c>
      <c r="G34" s="66"/>
      <c r="H34" s="140" t="n">
        <f aca="false">$D34*G34</f>
        <v>0</v>
      </c>
      <c r="I34" s="66"/>
      <c r="J34" s="140" t="n">
        <f aca="false">$D34*I34</f>
        <v>0</v>
      </c>
      <c r="K34" s="66"/>
      <c r="L34" s="140" t="n">
        <f aca="false">$D34*K34</f>
        <v>0</v>
      </c>
      <c r="M34" s="66" t="n">
        <f aca="false">SUM(E34,G34,I34,K34)</f>
        <v>0</v>
      </c>
      <c r="N34" s="140" t="n">
        <f aca="false">$D34*M34</f>
        <v>0</v>
      </c>
    </row>
    <row r="35" customFormat="false" ht="15" hidden="false" customHeight="true" outlineLevel="0" collapsed="false">
      <c r="A35" s="149" t="s">
        <v>96</v>
      </c>
      <c r="B35" s="150"/>
      <c r="C35" s="150"/>
      <c r="D35" s="179"/>
      <c r="E35" s="66"/>
      <c r="F35" s="140" t="n">
        <f aca="false">$D35*E35</f>
        <v>0</v>
      </c>
      <c r="G35" s="66"/>
      <c r="H35" s="140" t="n">
        <f aca="false">$D35*G35</f>
        <v>0</v>
      </c>
      <c r="I35" s="66"/>
      <c r="J35" s="140" t="n">
        <f aca="false">$D35*I35</f>
        <v>0</v>
      </c>
      <c r="K35" s="66"/>
      <c r="L35" s="140" t="n">
        <f aca="false">$D35*K35</f>
        <v>0</v>
      </c>
      <c r="M35" s="66" t="n">
        <f aca="false">SUM(E35,G35,I35,K35)</f>
        <v>0</v>
      </c>
      <c r="N35" s="140" t="n">
        <f aca="false">$D35*M35</f>
        <v>0</v>
      </c>
    </row>
    <row r="36" customFormat="false" ht="24.75" hidden="false" customHeight="true" outlineLevel="0" collapsed="false">
      <c r="A36" s="149"/>
      <c r="B36" s="150"/>
      <c r="C36" s="150"/>
      <c r="D36" s="179"/>
      <c r="E36" s="66"/>
      <c r="F36" s="140" t="n">
        <f aca="false">$D36*E36</f>
        <v>0</v>
      </c>
      <c r="G36" s="66"/>
      <c r="H36" s="140" t="n">
        <f aca="false">$D36*G36</f>
        <v>0</v>
      </c>
      <c r="I36" s="66"/>
      <c r="J36" s="140" t="n">
        <f aca="false">$D36*I36</f>
        <v>0</v>
      </c>
      <c r="K36" s="66"/>
      <c r="L36" s="140" t="n">
        <f aca="false">$D36*K36</f>
        <v>0</v>
      </c>
      <c r="M36" s="66" t="n">
        <f aca="false">SUM(E36,G36,I36,K36)</f>
        <v>0</v>
      </c>
      <c r="N36" s="140" t="n">
        <f aca="false">$D36*M36</f>
        <v>0</v>
      </c>
    </row>
    <row r="37" customFormat="false" ht="15" hidden="false" customHeight="false" outlineLevel="0" collapsed="false">
      <c r="A37" s="149"/>
      <c r="B37" s="150"/>
      <c r="C37" s="150"/>
      <c r="D37" s="179"/>
      <c r="E37" s="66"/>
      <c r="F37" s="140" t="n">
        <f aca="false">$D37*E37</f>
        <v>0</v>
      </c>
      <c r="G37" s="66"/>
      <c r="H37" s="140" t="n">
        <f aca="false">$D37*G37</f>
        <v>0</v>
      </c>
      <c r="I37" s="66"/>
      <c r="J37" s="140" t="n">
        <f aca="false">$D37*I37</f>
        <v>0</v>
      </c>
      <c r="K37" s="66"/>
      <c r="L37" s="140" t="n">
        <f aca="false">$D37*K37</f>
        <v>0</v>
      </c>
      <c r="M37" s="66" t="n">
        <f aca="false">SUM(E37,G37,I37,K37)</f>
        <v>0</v>
      </c>
      <c r="N37" s="140" t="n">
        <f aca="false">$D37*M37</f>
        <v>0</v>
      </c>
    </row>
    <row r="38" customFormat="false" ht="15" hidden="false" customHeight="false" outlineLevel="0" collapsed="false">
      <c r="A38" s="149"/>
      <c r="B38" s="150"/>
      <c r="C38" s="150"/>
      <c r="D38" s="179"/>
      <c r="E38" s="66"/>
      <c r="F38" s="140" t="n">
        <f aca="false">$D38*E38</f>
        <v>0</v>
      </c>
      <c r="G38" s="66"/>
      <c r="H38" s="140" t="n">
        <f aca="false">$D38*G38</f>
        <v>0</v>
      </c>
      <c r="I38" s="66"/>
      <c r="J38" s="140" t="n">
        <f aca="false">$D38*I38</f>
        <v>0</v>
      </c>
      <c r="K38" s="66"/>
      <c r="L38" s="140" t="n">
        <f aca="false">$D38*K38</f>
        <v>0</v>
      </c>
      <c r="M38" s="66" t="n">
        <f aca="false">SUM(E38,G38,I38,K38)</f>
        <v>0</v>
      </c>
      <c r="N38" s="140" t="n">
        <f aca="false">$D38*M38</f>
        <v>0</v>
      </c>
    </row>
    <row r="39" customFormat="false" ht="15" hidden="false" customHeight="false" outlineLevel="0" collapsed="false">
      <c r="A39" s="149"/>
      <c r="B39" s="150"/>
      <c r="C39" s="150"/>
      <c r="D39" s="179"/>
      <c r="E39" s="66"/>
      <c r="F39" s="140" t="n">
        <f aca="false">$D39*E39</f>
        <v>0</v>
      </c>
      <c r="G39" s="66"/>
      <c r="H39" s="140" t="n">
        <f aca="false">$D39*G39</f>
        <v>0</v>
      </c>
      <c r="I39" s="66"/>
      <c r="J39" s="140" t="n">
        <f aca="false">$D39*I39</f>
        <v>0</v>
      </c>
      <c r="K39" s="66"/>
      <c r="L39" s="140" t="n">
        <f aca="false">$D39*K39</f>
        <v>0</v>
      </c>
      <c r="M39" s="66" t="n">
        <f aca="false">SUM(E39,G39,I39,K39)</f>
        <v>0</v>
      </c>
      <c r="N39" s="140" t="n">
        <f aca="false">$D39*M39</f>
        <v>0</v>
      </c>
    </row>
    <row r="40" customFormat="false" ht="15" hidden="false" customHeight="false" outlineLevel="0" collapsed="false">
      <c r="A40" s="149"/>
      <c r="B40" s="150"/>
      <c r="C40" s="150"/>
      <c r="D40" s="179"/>
      <c r="E40" s="66"/>
      <c r="F40" s="140" t="n">
        <f aca="false">$D40*E40</f>
        <v>0</v>
      </c>
      <c r="G40" s="66"/>
      <c r="H40" s="140" t="n">
        <f aca="false">$D40*G40</f>
        <v>0</v>
      </c>
      <c r="I40" s="66"/>
      <c r="J40" s="140" t="n">
        <f aca="false">$D40*I40</f>
        <v>0</v>
      </c>
      <c r="K40" s="66"/>
      <c r="L40" s="140" t="n">
        <f aca="false">$D40*K40</f>
        <v>0</v>
      </c>
      <c r="M40" s="66" t="n">
        <f aca="false">SUM(E40,G40,I40,K40)</f>
        <v>0</v>
      </c>
      <c r="N40" s="140" t="n">
        <f aca="false">$D40*M40</f>
        <v>0</v>
      </c>
    </row>
    <row r="41" customFormat="false" ht="15" hidden="false" customHeight="false" outlineLevel="0" collapsed="false">
      <c r="A41" s="149"/>
      <c r="B41" s="150"/>
      <c r="C41" s="150"/>
      <c r="D41" s="179"/>
      <c r="E41" s="66"/>
      <c r="F41" s="140" t="n">
        <f aca="false">$D41*E41</f>
        <v>0</v>
      </c>
      <c r="G41" s="66"/>
      <c r="H41" s="140" t="n">
        <f aca="false">$D41*G41</f>
        <v>0</v>
      </c>
      <c r="I41" s="66"/>
      <c r="J41" s="140" t="n">
        <f aca="false">$D41*I41</f>
        <v>0</v>
      </c>
      <c r="K41" s="66"/>
      <c r="L41" s="140" t="n">
        <f aca="false">$D41*K41</f>
        <v>0</v>
      </c>
      <c r="M41" s="66" t="n">
        <f aca="false">SUM(E41,G41,I41,K41)</f>
        <v>0</v>
      </c>
      <c r="N41" s="140" t="n">
        <f aca="false">$D41*M41</f>
        <v>0</v>
      </c>
    </row>
    <row r="42" customFormat="false" ht="15" hidden="false" customHeight="false" outlineLevel="0" collapsed="false">
      <c r="A42" s="149"/>
      <c r="B42" s="150"/>
      <c r="C42" s="150"/>
      <c r="D42" s="179"/>
      <c r="E42" s="66"/>
      <c r="F42" s="140" t="n">
        <f aca="false">$D42*E42</f>
        <v>0</v>
      </c>
      <c r="G42" s="66"/>
      <c r="H42" s="140" t="n">
        <f aca="false">$D42*G42</f>
        <v>0</v>
      </c>
      <c r="I42" s="66"/>
      <c r="J42" s="140" t="n">
        <f aca="false">$D42*I42</f>
        <v>0</v>
      </c>
      <c r="K42" s="66"/>
      <c r="L42" s="140" t="n">
        <f aca="false">$D42*K42</f>
        <v>0</v>
      </c>
      <c r="M42" s="66" t="n">
        <f aca="false">SUM(E42,G42,I42,K42)</f>
        <v>0</v>
      </c>
      <c r="N42" s="140" t="n">
        <f aca="false">$D42*M42</f>
        <v>0</v>
      </c>
    </row>
    <row r="43" customFormat="false" ht="15" hidden="false" customHeight="false" outlineLevel="0" collapsed="false">
      <c r="A43" s="149"/>
      <c r="B43" s="150"/>
      <c r="C43" s="150"/>
      <c r="D43" s="179"/>
      <c r="E43" s="66"/>
      <c r="F43" s="140" t="n">
        <f aca="false">$D43*E43</f>
        <v>0</v>
      </c>
      <c r="G43" s="66"/>
      <c r="H43" s="140" t="n">
        <f aca="false">$D43*G43</f>
        <v>0</v>
      </c>
      <c r="I43" s="66"/>
      <c r="J43" s="140" t="n">
        <f aca="false">$D43*I43</f>
        <v>0</v>
      </c>
      <c r="K43" s="66"/>
      <c r="L43" s="140" t="n">
        <f aca="false">$D43*K43</f>
        <v>0</v>
      </c>
      <c r="M43" s="66" t="n">
        <f aca="false">SUM(E43,G43,I43,K43)</f>
        <v>0</v>
      </c>
      <c r="N43" s="140" t="n">
        <f aca="false">$D43*M43</f>
        <v>0</v>
      </c>
    </row>
    <row r="44" customFormat="false" ht="15" hidden="false" customHeight="false" outlineLevel="0" collapsed="false">
      <c r="A44" s="149"/>
      <c r="B44" s="150"/>
      <c r="C44" s="150"/>
      <c r="D44" s="179"/>
      <c r="E44" s="66"/>
      <c r="F44" s="140" t="n">
        <f aca="false">$D44*E44</f>
        <v>0</v>
      </c>
      <c r="G44" s="66"/>
      <c r="H44" s="140" t="n">
        <f aca="false">$D44*G44</f>
        <v>0</v>
      </c>
      <c r="I44" s="66"/>
      <c r="J44" s="140" t="n">
        <f aca="false">$D44*I44</f>
        <v>0</v>
      </c>
      <c r="K44" s="66"/>
      <c r="L44" s="140" t="n">
        <f aca="false">$D44*K44</f>
        <v>0</v>
      </c>
      <c r="M44" s="66" t="n">
        <f aca="false">SUM(E44,G44,I44,K44)</f>
        <v>0</v>
      </c>
      <c r="N44" s="140" t="n">
        <f aca="false">$D44*M44</f>
        <v>0</v>
      </c>
    </row>
    <row r="45" customFormat="false" ht="15" hidden="false" customHeight="false" outlineLevel="0" collapsed="false">
      <c r="A45" s="149"/>
      <c r="B45" s="150"/>
      <c r="C45" s="150"/>
      <c r="D45" s="179"/>
      <c r="E45" s="66"/>
      <c r="F45" s="140" t="n">
        <f aca="false">$D45*E45</f>
        <v>0</v>
      </c>
      <c r="G45" s="66"/>
      <c r="H45" s="140" t="n">
        <f aca="false">$D45*G45</f>
        <v>0</v>
      </c>
      <c r="I45" s="66"/>
      <c r="J45" s="140" t="n">
        <f aca="false">$D45*I45</f>
        <v>0</v>
      </c>
      <c r="K45" s="66"/>
      <c r="L45" s="140" t="n">
        <f aca="false">$D45*K45</f>
        <v>0</v>
      </c>
      <c r="M45" s="66" t="n">
        <f aca="false">SUM(E45,G45,I45,K45)</f>
        <v>0</v>
      </c>
      <c r="N45" s="140" t="n">
        <f aca="false">$D45*M45</f>
        <v>0</v>
      </c>
    </row>
    <row r="46" customFormat="false" ht="15" hidden="false" customHeight="false" outlineLevel="0" collapsed="false">
      <c r="A46" s="149"/>
      <c r="B46" s="150"/>
      <c r="C46" s="150"/>
      <c r="D46" s="179"/>
      <c r="E46" s="66"/>
      <c r="F46" s="140" t="n">
        <f aca="false">$D46*E46</f>
        <v>0</v>
      </c>
      <c r="G46" s="66"/>
      <c r="H46" s="140" t="n">
        <f aca="false">$D46*G46</f>
        <v>0</v>
      </c>
      <c r="I46" s="66"/>
      <c r="J46" s="140" t="n">
        <f aca="false">$D46*I46</f>
        <v>0</v>
      </c>
      <c r="K46" s="66"/>
      <c r="L46" s="140" t="n">
        <f aca="false">$D46*K46</f>
        <v>0</v>
      </c>
      <c r="M46" s="66" t="n">
        <f aca="false">SUM(E46,G46,I46,K46)</f>
        <v>0</v>
      </c>
      <c r="N46" s="140" t="n">
        <f aca="false">$D46*M46</f>
        <v>0</v>
      </c>
    </row>
    <row r="47" customFormat="false" ht="15" hidden="false" customHeight="false" outlineLevel="0" collapsed="false">
      <c r="M47" s="66"/>
    </row>
    <row r="48" s="33" customFormat="true" ht="15" hidden="false" customHeight="false" outlineLevel="0" collapsed="false">
      <c r="A48" s="73"/>
      <c r="B48" s="152"/>
      <c r="C48" s="184" t="s">
        <v>65</v>
      </c>
      <c r="D48" s="184"/>
      <c r="E48" s="140"/>
      <c r="F48" s="140" t="n">
        <f aca="false">SUM(F8:F46)</f>
        <v>0</v>
      </c>
      <c r="G48" s="140"/>
      <c r="H48" s="140" t="n">
        <f aca="false">SUM(H8:H46)</f>
        <v>0</v>
      </c>
      <c r="I48" s="140"/>
      <c r="J48" s="140" t="n">
        <f aca="false">SUM(J8:J46)</f>
        <v>0</v>
      </c>
      <c r="K48" s="140"/>
      <c r="L48" s="140" t="n">
        <f aca="false">SUM(L8:L46)</f>
        <v>0</v>
      </c>
      <c r="M48" s="66" t="n">
        <f aca="false">SUM(M8:M46)</f>
        <v>0</v>
      </c>
      <c r="N48" s="140" t="n">
        <f aca="false">SUM(N8:N46)</f>
        <v>0</v>
      </c>
    </row>
    <row r="52" s="34" customFormat="true" ht="15" hidden="false" customHeight="false" outlineLevel="0" collapsed="false"/>
    <row r="75" customFormat="false" ht="15" hidden="false" customHeight="false" outlineLevel="0" collapsed="false">
      <c r="F75" s="185" t="n">
        <f aca="false">SUM(F10:F73)</f>
        <v>0</v>
      </c>
    </row>
    <row r="77" s="34" customFormat="true" ht="15" hidden="false" customHeight="false" outlineLevel="0" collapsed="false"/>
    <row r="78" s="34" customFormat="true" ht="15" hidden="false" customHeight="false" outlineLevel="0" collapsed="false"/>
    <row r="79" s="34" customFormat="true" ht="15" hidden="false" customHeight="false" outlineLevel="0" collapsed="false"/>
    <row r="80" s="34" customFormat="true" ht="15" hidden="false" customHeight="false" outlineLevel="0" collapsed="false"/>
    <row r="81" s="34" customFormat="true" ht="15" hidden="false" customHeight="false" outlineLevel="0" collapsed="false"/>
    <row r="82" s="34" customFormat="true" ht="15" hidden="false" customHeight="false" outlineLevel="0" collapsed="false"/>
    <row r="83" s="34" customFormat="true" ht="15" hidden="false" customHeight="false" outlineLevel="0" collapsed="false"/>
    <row r="84" s="34" customFormat="true" ht="15" hidden="false" customHeight="false" outlineLevel="0" collapsed="false"/>
    <row r="85" s="34" customFormat="true" ht="15" hidden="false" customHeight="false" outlineLevel="0" collapsed="false"/>
    <row r="86" s="34" customFormat="true" ht="15" hidden="false" customHeight="false" outlineLevel="0" collapsed="false"/>
    <row r="87" s="34" customFormat="true" ht="15" hidden="false" customHeight="false" outlineLevel="0" collapsed="false"/>
    <row r="88" s="34" customFormat="true" ht="15" hidden="false" customHeight="false" outlineLevel="0" collapsed="false"/>
    <row r="89" s="34" customFormat="true" ht="15" hidden="false" customHeight="false" outlineLevel="0" collapsed="false"/>
    <row r="90" s="34" customFormat="true" ht="15" hidden="false" customHeight="false" outlineLevel="0" collapsed="false"/>
    <row r="91" s="34" customFormat="true" ht="15" hidden="false" customHeight="false" outlineLevel="0" collapsed="false"/>
    <row r="92" s="34" customFormat="true" ht="15" hidden="false" customHeight="false" outlineLevel="0" collapsed="false"/>
    <row r="93" s="34" customFormat="true" ht="15" hidden="false" customHeight="false" outlineLevel="0" collapsed="false"/>
    <row r="94" s="34" customFormat="true" ht="15" hidden="false" customHeight="false" outlineLevel="0" collapsed="false"/>
    <row r="95" s="34" customFormat="true" ht="15" hidden="false" customHeight="false" outlineLevel="0" collapsed="false"/>
    <row r="96" s="34" customFormat="true" ht="15" hidden="false" customHeight="false" outlineLevel="0" collapsed="false"/>
    <row r="97" s="34" customFormat="true" ht="15" hidden="false" customHeight="false" outlineLevel="0" collapsed="false"/>
    <row r="98" s="34" customFormat="true" ht="15" hidden="false" customHeight="false" outlineLevel="0" collapsed="false"/>
    <row r="99" s="34" customFormat="true" ht="15" hidden="false" customHeight="false" outlineLevel="0" collapsed="false"/>
    <row r="100" s="34" customFormat="true" ht="15" hidden="false" customHeight="false" outlineLevel="0" collapsed="false"/>
    <row r="101" s="34" customFormat="true" ht="15" hidden="false" customHeight="false" outlineLevel="0" collapsed="false"/>
    <row r="102" s="34" customFormat="true" ht="15" hidden="false" customHeight="false" outlineLevel="0" collapsed="false"/>
    <row r="103" s="34" customFormat="true" ht="15" hidden="false" customHeight="false" outlineLevel="0" collapsed="false"/>
    <row r="104" s="34" customFormat="true" ht="15" hidden="false" customHeight="false" outlineLevel="0" collapsed="false"/>
    <row r="105" s="34" customFormat="true" ht="15" hidden="false" customHeight="false" outlineLevel="0" collapsed="false"/>
    <row r="106" s="34" customFormat="true" ht="15" hidden="false" customHeight="false" outlineLevel="0" collapsed="false"/>
    <row r="107" s="34" customFormat="true" ht="15" hidden="false" customHeight="false" outlineLevel="0" collapsed="false"/>
    <row r="108" s="34" customFormat="true" ht="15" hidden="false" customHeight="false" outlineLevel="0" collapsed="false"/>
    <row r="109" s="34" customFormat="true" ht="15" hidden="false" customHeight="false" outlineLevel="0" collapsed="false"/>
    <row r="110" s="34" customFormat="true" ht="15" hidden="false" customHeight="false" outlineLevel="0" collapsed="false"/>
    <row r="111" s="34" customFormat="true" ht="15" hidden="false" customHeight="false" outlineLevel="0" collapsed="false"/>
    <row r="132" s="34" customFormat="true" ht="15" hidden="false" customHeight="false" outlineLevel="0" collapsed="false"/>
    <row r="133" s="34" customFormat="true" ht="15" hidden="false" customHeight="false" outlineLevel="0" collapsed="false"/>
    <row r="134" s="34" customFormat="true" ht="15" hidden="false" customHeight="false" outlineLevel="0" collapsed="false"/>
    <row r="135" s="34" customFormat="true" ht="15" hidden="false" customHeight="false" outlineLevel="0" collapsed="false"/>
    <row r="136" s="34" customFormat="true" ht="15" hidden="false" customHeight="false" outlineLevel="0" collapsed="false"/>
    <row r="137" s="34" customFormat="true" ht="15" hidden="false" customHeight="false" outlineLevel="0" collapsed="false"/>
    <row r="138" s="34" customFormat="true" ht="15" hidden="false" customHeight="false" outlineLevel="0" collapsed="false"/>
    <row r="139" s="34" customFormat="true" ht="15" hidden="false" customHeight="false" outlineLevel="0" collapsed="false"/>
    <row r="140" s="34" customFormat="true" ht="15" hidden="false" customHeight="false" outlineLevel="0" collapsed="false"/>
    <row r="141" s="34" customFormat="true" ht="15" hidden="false" customHeight="false" outlineLevel="0" collapsed="false"/>
    <row r="142" s="34" customFormat="true" ht="15" hidden="false" customHeight="false" outlineLevel="0" collapsed="false"/>
    <row r="143" s="34" customFormat="true" ht="15" hidden="false" customHeight="false" outlineLevel="0" collapsed="false"/>
    <row r="144" s="34" customFormat="true" ht="15" hidden="false" customHeight="false" outlineLevel="0" collapsed="false"/>
    <row r="145" s="34" customFormat="true" ht="15" hidden="false" customHeight="false" outlineLevel="0" collapsed="false"/>
    <row r="146" s="34" customFormat="true" ht="15" hidden="false" customHeight="false" outlineLevel="0" collapsed="false"/>
    <row r="147" s="34" customFormat="true" ht="15" hidden="false" customHeight="false" outlineLevel="0" collapsed="false"/>
    <row r="148" s="34" customFormat="true" ht="15" hidden="false" customHeight="false" outlineLevel="0" collapsed="false"/>
    <row r="149" s="34" customFormat="true" ht="15" hidden="false" customHeight="false" outlineLevel="0" collapsed="false"/>
    <row r="150" s="34" customFormat="true" ht="15" hidden="false" customHeight="false" outlineLevel="0" collapsed="false"/>
    <row r="151" s="34" customFormat="true" ht="15" hidden="false" customHeight="false" outlineLevel="0" collapsed="false"/>
    <row r="152" s="34" customFormat="true" ht="15" hidden="false" customHeight="false" outlineLevel="0" collapsed="false"/>
    <row r="153" s="34" customFormat="true" ht="15" hidden="false" customHeight="false" outlineLevel="0" collapsed="false"/>
    <row r="154" s="34" customFormat="true" ht="15" hidden="false" customHeight="false" outlineLevel="0" collapsed="false"/>
    <row r="155" s="34" customFormat="true" ht="15" hidden="false" customHeight="false" outlineLevel="0" collapsed="false"/>
    <row r="156" s="34" customFormat="true" ht="15" hidden="false" customHeight="false" outlineLevel="0" collapsed="false"/>
    <row r="157" s="34" customFormat="true" ht="15" hidden="false" customHeight="false" outlineLevel="0" collapsed="false"/>
    <row r="158" s="34" customFormat="true" ht="15" hidden="false" customHeight="false" outlineLevel="0" collapsed="false"/>
    <row r="159" s="34" customFormat="true" ht="15" hidden="false" customHeight="false" outlineLevel="0" collapsed="false"/>
    <row r="160" s="34" customFormat="true" ht="15" hidden="false" customHeight="false" outlineLevel="0" collapsed="false"/>
    <row r="161" s="34" customFormat="true" ht="15" hidden="false" customHeight="false" outlineLevel="0" collapsed="false"/>
    <row r="162" s="34" customFormat="true" ht="15" hidden="false" customHeight="false" outlineLevel="0" collapsed="false"/>
    <row r="163" s="34" customFormat="true" ht="15" hidden="false" customHeight="false" outlineLevel="0" collapsed="false"/>
    <row r="164" s="34" customFormat="true" ht="15" hidden="false" customHeight="false" outlineLevel="0" collapsed="false"/>
    <row r="165" s="34" customFormat="true" ht="15" hidden="false" customHeight="false" outlineLevel="0" collapsed="false"/>
    <row r="166" s="34" customFormat="true" ht="15" hidden="false" customHeight="false" outlineLevel="0" collapsed="false"/>
  </sheetData>
  <mergeCells count="55">
    <mergeCell ref="A1:D1"/>
    <mergeCell ref="E1:F1"/>
    <mergeCell ref="G1:H1"/>
    <mergeCell ref="I1:J1"/>
    <mergeCell ref="K1:L1"/>
    <mergeCell ref="M1:N1"/>
    <mergeCell ref="A2:D2"/>
    <mergeCell ref="E2:F2"/>
    <mergeCell ref="G2:H2"/>
    <mergeCell ref="I2:J2"/>
    <mergeCell ref="K2:L2"/>
    <mergeCell ref="M2:N2"/>
    <mergeCell ref="E3:F3"/>
    <mergeCell ref="G3:H3"/>
    <mergeCell ref="I3:J3"/>
    <mergeCell ref="K3:L3"/>
    <mergeCell ref="M3:N3"/>
    <mergeCell ref="A4:D4"/>
    <mergeCell ref="E4:F4"/>
    <mergeCell ref="G4:H4"/>
    <mergeCell ref="I4:J4"/>
    <mergeCell ref="K4:L4"/>
    <mergeCell ref="M4:N4"/>
    <mergeCell ref="A5:D5"/>
    <mergeCell ref="E5:F5"/>
    <mergeCell ref="G5:H5"/>
    <mergeCell ref="I5:J5"/>
    <mergeCell ref="K5:L5"/>
    <mergeCell ref="M5:N5"/>
    <mergeCell ref="A6:D6"/>
    <mergeCell ref="E6:F6"/>
    <mergeCell ref="G6:H6"/>
    <mergeCell ref="I6:J6"/>
    <mergeCell ref="K6:L6"/>
    <mergeCell ref="M6:N6"/>
    <mergeCell ref="A8:A9"/>
    <mergeCell ref="A10:A13"/>
    <mergeCell ref="B10:B13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C48:D48"/>
  </mergeCells>
  <printOptions headings="false" gridLines="false" gridLinesSet="true" horizontalCentered="false" verticalCentered="false"/>
  <pageMargins left="0.25" right="0.510416666666667" top="0.833333333333333" bottom="0.75" header="0.3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&amp;L&amp;"Calibri,Bold"JUNE 2026&amp;C&amp;"Calibri,Bold"Annexure 01&amp;R&amp;"Calibri,Bold"Binding Services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2026-07-31T10:12:41Z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